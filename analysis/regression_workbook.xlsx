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10f741228aacd2/Desktop/"/>
    </mc:Choice>
  </mc:AlternateContent>
  <xr:revisionPtr revIDLastSave="37" documentId="8_{14A079B4-AD6C-4446-9D37-8CA692D4889F}" xr6:coauthVersionLast="47" xr6:coauthVersionMax="47" xr10:uidLastSave="{236103CC-28EC-4FDD-891E-401FAD87B0E1}"/>
  <bookViews>
    <workbookView xWindow="-108" yWindow="-108" windowWidth="23256" windowHeight="12456" firstSheet="4" activeTab="7" xr2:uid="{94F23E02-8D69-41D8-B823-572886A2F96B}"/>
  </bookViews>
  <sheets>
    <sheet name="Original_data" sheetId="15" r:id="rId1"/>
    <sheet name="Cleaned_data" sheetId="1" r:id="rId2"/>
    <sheet name="dummy" sheetId="2" r:id="rId3"/>
    <sheet name="Simple_Regression 1" sheetId="3" r:id="rId4"/>
    <sheet name="Simple_Regression 2" sheetId="5" r:id="rId5"/>
    <sheet name="Multiple_Regression" sheetId="7" r:id="rId6"/>
    <sheet name="Prediction and residual " sheetId="16" r:id="rId7"/>
    <sheet name="Model_Compare" sheetId="12" r:id="rId8"/>
  </sheets>
  <definedNames>
    <definedName name="_xlnm._FilterDatabase" localSheetId="1" hidden="1">Cleaned_data!$A$1:$N$321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1" i="16" l="1"/>
  <c r="I321" i="16"/>
  <c r="U321" i="16" s="1"/>
  <c r="V321" i="16" s="1"/>
  <c r="W321" i="16" s="1"/>
  <c r="H321" i="16"/>
  <c r="F321" i="16"/>
  <c r="E321" i="16"/>
  <c r="D321" i="16"/>
  <c r="U320" i="16"/>
  <c r="V320" i="16" s="1"/>
  <c r="W320" i="16" s="1"/>
  <c r="J320" i="16"/>
  <c r="I320" i="16"/>
  <c r="H320" i="16"/>
  <c r="F320" i="16"/>
  <c r="E320" i="16"/>
  <c r="D320" i="16"/>
  <c r="U319" i="16"/>
  <c r="V319" i="16" s="1"/>
  <c r="W319" i="16" s="1"/>
  <c r="J319" i="16"/>
  <c r="I319" i="16"/>
  <c r="H319" i="16"/>
  <c r="F319" i="16"/>
  <c r="E319" i="16"/>
  <c r="D319" i="16"/>
  <c r="J318" i="16"/>
  <c r="I318" i="16"/>
  <c r="H318" i="16"/>
  <c r="U318" i="16" s="1"/>
  <c r="V318" i="16" s="1"/>
  <c r="W318" i="16" s="1"/>
  <c r="F318" i="16"/>
  <c r="E318" i="16"/>
  <c r="D318" i="16"/>
  <c r="J317" i="16"/>
  <c r="I317" i="16"/>
  <c r="U317" i="16" s="1"/>
  <c r="V317" i="16" s="1"/>
  <c r="W317" i="16" s="1"/>
  <c r="H317" i="16"/>
  <c r="F317" i="16"/>
  <c r="E317" i="16"/>
  <c r="D317" i="16"/>
  <c r="U316" i="16"/>
  <c r="V316" i="16" s="1"/>
  <c r="W316" i="16" s="1"/>
  <c r="J316" i="16"/>
  <c r="I316" i="16"/>
  <c r="H316" i="16"/>
  <c r="F316" i="16"/>
  <c r="E316" i="16"/>
  <c r="D316" i="16"/>
  <c r="V315" i="16"/>
  <c r="W315" i="16" s="1"/>
  <c r="U315" i="16"/>
  <c r="J315" i="16"/>
  <c r="I315" i="16"/>
  <c r="H315" i="16"/>
  <c r="F315" i="16"/>
  <c r="E315" i="16"/>
  <c r="D315" i="16"/>
  <c r="J314" i="16"/>
  <c r="I314" i="16"/>
  <c r="H314" i="16"/>
  <c r="U314" i="16" s="1"/>
  <c r="V314" i="16" s="1"/>
  <c r="W314" i="16" s="1"/>
  <c r="F314" i="16"/>
  <c r="E314" i="16"/>
  <c r="D314" i="16"/>
  <c r="J313" i="16"/>
  <c r="I313" i="16"/>
  <c r="U313" i="16" s="1"/>
  <c r="V313" i="16" s="1"/>
  <c r="W313" i="16" s="1"/>
  <c r="H313" i="16"/>
  <c r="F313" i="16"/>
  <c r="E313" i="16"/>
  <c r="D313" i="16"/>
  <c r="U312" i="16"/>
  <c r="V312" i="16" s="1"/>
  <c r="W312" i="16" s="1"/>
  <c r="J312" i="16"/>
  <c r="I312" i="16"/>
  <c r="H312" i="16"/>
  <c r="F312" i="16"/>
  <c r="E312" i="16"/>
  <c r="D312" i="16"/>
  <c r="U311" i="16"/>
  <c r="V311" i="16" s="1"/>
  <c r="W311" i="16" s="1"/>
  <c r="J311" i="16"/>
  <c r="I311" i="16"/>
  <c r="H311" i="16"/>
  <c r="F311" i="16"/>
  <c r="E311" i="16"/>
  <c r="D311" i="16"/>
  <c r="J310" i="16"/>
  <c r="I310" i="16"/>
  <c r="H310" i="16"/>
  <c r="F310" i="16"/>
  <c r="E310" i="16"/>
  <c r="D310" i="16"/>
  <c r="J309" i="16"/>
  <c r="I309" i="16"/>
  <c r="U309" i="16" s="1"/>
  <c r="V309" i="16" s="1"/>
  <c r="W309" i="16" s="1"/>
  <c r="H309" i="16"/>
  <c r="F309" i="16"/>
  <c r="E309" i="16"/>
  <c r="D309" i="16"/>
  <c r="U308" i="16"/>
  <c r="V308" i="16" s="1"/>
  <c r="W308" i="16" s="1"/>
  <c r="J308" i="16"/>
  <c r="I308" i="16"/>
  <c r="H308" i="16"/>
  <c r="F308" i="16"/>
  <c r="E308" i="16"/>
  <c r="D308" i="16"/>
  <c r="U307" i="16"/>
  <c r="V307" i="16" s="1"/>
  <c r="W307" i="16" s="1"/>
  <c r="J307" i="16"/>
  <c r="I307" i="16"/>
  <c r="H307" i="16"/>
  <c r="F307" i="16"/>
  <c r="E307" i="16"/>
  <c r="D307" i="16"/>
  <c r="J306" i="16"/>
  <c r="I306" i="16"/>
  <c r="H306" i="16"/>
  <c r="U306" i="16" s="1"/>
  <c r="V306" i="16" s="1"/>
  <c r="W306" i="16" s="1"/>
  <c r="F306" i="16"/>
  <c r="E306" i="16"/>
  <c r="D306" i="16"/>
  <c r="J305" i="16"/>
  <c r="I305" i="16"/>
  <c r="U305" i="16" s="1"/>
  <c r="V305" i="16" s="1"/>
  <c r="W305" i="16" s="1"/>
  <c r="H305" i="16"/>
  <c r="F305" i="16"/>
  <c r="E305" i="16"/>
  <c r="D305" i="16"/>
  <c r="U304" i="16"/>
  <c r="V304" i="16" s="1"/>
  <c r="W304" i="16" s="1"/>
  <c r="J304" i="16"/>
  <c r="I304" i="16"/>
  <c r="H304" i="16"/>
  <c r="F304" i="16"/>
  <c r="E304" i="16"/>
  <c r="D304" i="16"/>
  <c r="U303" i="16"/>
  <c r="V303" i="16" s="1"/>
  <c r="W303" i="16" s="1"/>
  <c r="J303" i="16"/>
  <c r="I303" i="16"/>
  <c r="H303" i="16"/>
  <c r="F303" i="16"/>
  <c r="E303" i="16"/>
  <c r="D303" i="16"/>
  <c r="J302" i="16"/>
  <c r="I302" i="16"/>
  <c r="H302" i="16"/>
  <c r="U302" i="16" s="1"/>
  <c r="V302" i="16" s="1"/>
  <c r="W302" i="16" s="1"/>
  <c r="F302" i="16"/>
  <c r="E302" i="16"/>
  <c r="D302" i="16"/>
  <c r="J301" i="16"/>
  <c r="I301" i="16"/>
  <c r="U301" i="16" s="1"/>
  <c r="V301" i="16" s="1"/>
  <c r="W301" i="16" s="1"/>
  <c r="H301" i="16"/>
  <c r="F301" i="16"/>
  <c r="E301" i="16"/>
  <c r="D301" i="16"/>
  <c r="U300" i="16"/>
  <c r="V300" i="16" s="1"/>
  <c r="W300" i="16" s="1"/>
  <c r="J300" i="16"/>
  <c r="I300" i="16"/>
  <c r="H300" i="16"/>
  <c r="F300" i="16"/>
  <c r="E300" i="16"/>
  <c r="D300" i="16"/>
  <c r="V299" i="16"/>
  <c r="W299" i="16" s="1"/>
  <c r="U299" i="16"/>
  <c r="J299" i="16"/>
  <c r="I299" i="16"/>
  <c r="H299" i="16"/>
  <c r="F299" i="16"/>
  <c r="E299" i="16"/>
  <c r="D299" i="16"/>
  <c r="J298" i="16"/>
  <c r="I298" i="16"/>
  <c r="H298" i="16"/>
  <c r="U298" i="16" s="1"/>
  <c r="V298" i="16" s="1"/>
  <c r="W298" i="16" s="1"/>
  <c r="F298" i="16"/>
  <c r="E298" i="16"/>
  <c r="D298" i="16"/>
  <c r="J297" i="16"/>
  <c r="I297" i="16"/>
  <c r="U297" i="16" s="1"/>
  <c r="V297" i="16" s="1"/>
  <c r="W297" i="16" s="1"/>
  <c r="H297" i="16"/>
  <c r="F297" i="16"/>
  <c r="E297" i="16"/>
  <c r="D297" i="16"/>
  <c r="U296" i="16"/>
  <c r="V296" i="16" s="1"/>
  <c r="W296" i="16" s="1"/>
  <c r="J296" i="16"/>
  <c r="I296" i="16"/>
  <c r="H296" i="16"/>
  <c r="F296" i="16"/>
  <c r="E296" i="16"/>
  <c r="D296" i="16"/>
  <c r="U295" i="16"/>
  <c r="V295" i="16" s="1"/>
  <c r="W295" i="16" s="1"/>
  <c r="J295" i="16"/>
  <c r="I295" i="16"/>
  <c r="H295" i="16"/>
  <c r="F295" i="16"/>
  <c r="E295" i="16"/>
  <c r="D295" i="16"/>
  <c r="J294" i="16"/>
  <c r="I294" i="16"/>
  <c r="H294" i="16"/>
  <c r="F294" i="16"/>
  <c r="E294" i="16"/>
  <c r="D294" i="16"/>
  <c r="J293" i="16"/>
  <c r="I293" i="16"/>
  <c r="U293" i="16" s="1"/>
  <c r="V293" i="16" s="1"/>
  <c r="W293" i="16" s="1"/>
  <c r="H293" i="16"/>
  <c r="F293" i="16"/>
  <c r="E293" i="16"/>
  <c r="D293" i="16"/>
  <c r="U292" i="16"/>
  <c r="V292" i="16" s="1"/>
  <c r="W292" i="16" s="1"/>
  <c r="J292" i="16"/>
  <c r="I292" i="16"/>
  <c r="H292" i="16"/>
  <c r="F292" i="16"/>
  <c r="E292" i="16"/>
  <c r="D292" i="16"/>
  <c r="U291" i="16"/>
  <c r="V291" i="16" s="1"/>
  <c r="W291" i="16" s="1"/>
  <c r="J291" i="16"/>
  <c r="I291" i="16"/>
  <c r="H291" i="16"/>
  <c r="F291" i="16"/>
  <c r="E291" i="16"/>
  <c r="D291" i="16"/>
  <c r="J290" i="16"/>
  <c r="I290" i="16"/>
  <c r="H290" i="16"/>
  <c r="U290" i="16" s="1"/>
  <c r="V290" i="16" s="1"/>
  <c r="W290" i="16" s="1"/>
  <c r="F290" i="16"/>
  <c r="E290" i="16"/>
  <c r="D290" i="16"/>
  <c r="J289" i="16"/>
  <c r="I289" i="16"/>
  <c r="U289" i="16" s="1"/>
  <c r="V289" i="16" s="1"/>
  <c r="W289" i="16" s="1"/>
  <c r="H289" i="16"/>
  <c r="F289" i="16"/>
  <c r="E289" i="16"/>
  <c r="D289" i="16"/>
  <c r="U288" i="16"/>
  <c r="V288" i="16" s="1"/>
  <c r="W288" i="16" s="1"/>
  <c r="J288" i="16"/>
  <c r="I288" i="16"/>
  <c r="H288" i="16"/>
  <c r="F288" i="16"/>
  <c r="E288" i="16"/>
  <c r="D288" i="16"/>
  <c r="U287" i="16"/>
  <c r="V287" i="16" s="1"/>
  <c r="W287" i="16" s="1"/>
  <c r="J287" i="16"/>
  <c r="I287" i="16"/>
  <c r="H287" i="16"/>
  <c r="F287" i="16"/>
  <c r="E287" i="16"/>
  <c r="D287" i="16"/>
  <c r="J286" i="16"/>
  <c r="I286" i="16"/>
  <c r="H286" i="16"/>
  <c r="U286" i="16" s="1"/>
  <c r="V286" i="16" s="1"/>
  <c r="W286" i="16" s="1"/>
  <c r="F286" i="16"/>
  <c r="E286" i="16"/>
  <c r="D286" i="16"/>
  <c r="J285" i="16"/>
  <c r="I285" i="16"/>
  <c r="U285" i="16" s="1"/>
  <c r="V285" i="16" s="1"/>
  <c r="W285" i="16" s="1"/>
  <c r="H285" i="16"/>
  <c r="F285" i="16"/>
  <c r="E285" i="16"/>
  <c r="D285" i="16"/>
  <c r="U284" i="16"/>
  <c r="V284" i="16" s="1"/>
  <c r="W284" i="16" s="1"/>
  <c r="J284" i="16"/>
  <c r="I284" i="16"/>
  <c r="H284" i="16"/>
  <c r="F284" i="16"/>
  <c r="E284" i="16"/>
  <c r="D284" i="16"/>
  <c r="V283" i="16"/>
  <c r="W283" i="16" s="1"/>
  <c r="U283" i="16"/>
  <c r="J283" i="16"/>
  <c r="I283" i="16"/>
  <c r="H283" i="16"/>
  <c r="F283" i="16"/>
  <c r="E283" i="16"/>
  <c r="D283" i="16"/>
  <c r="J282" i="16"/>
  <c r="I282" i="16"/>
  <c r="H282" i="16"/>
  <c r="U282" i="16" s="1"/>
  <c r="V282" i="16" s="1"/>
  <c r="W282" i="16" s="1"/>
  <c r="F282" i="16"/>
  <c r="E282" i="16"/>
  <c r="D282" i="16"/>
  <c r="J281" i="16"/>
  <c r="I281" i="16"/>
  <c r="U281" i="16" s="1"/>
  <c r="V281" i="16" s="1"/>
  <c r="W281" i="16" s="1"/>
  <c r="H281" i="16"/>
  <c r="F281" i="16"/>
  <c r="E281" i="16"/>
  <c r="D281" i="16"/>
  <c r="U280" i="16"/>
  <c r="V280" i="16" s="1"/>
  <c r="W280" i="16" s="1"/>
  <c r="J280" i="16"/>
  <c r="I280" i="16"/>
  <c r="H280" i="16"/>
  <c r="F280" i="16"/>
  <c r="E280" i="16"/>
  <c r="D280" i="16"/>
  <c r="U279" i="16"/>
  <c r="V279" i="16" s="1"/>
  <c r="W279" i="16" s="1"/>
  <c r="J279" i="16"/>
  <c r="I279" i="16"/>
  <c r="H279" i="16"/>
  <c r="F279" i="16"/>
  <c r="E279" i="16"/>
  <c r="D279" i="16"/>
  <c r="J278" i="16"/>
  <c r="I278" i="16"/>
  <c r="H278" i="16"/>
  <c r="F278" i="16"/>
  <c r="E278" i="16"/>
  <c r="D278" i="16"/>
  <c r="J277" i="16"/>
  <c r="I277" i="16"/>
  <c r="U277" i="16" s="1"/>
  <c r="V277" i="16" s="1"/>
  <c r="W277" i="16" s="1"/>
  <c r="H277" i="16"/>
  <c r="F277" i="16"/>
  <c r="E277" i="16"/>
  <c r="D277" i="16"/>
  <c r="U276" i="16"/>
  <c r="V276" i="16" s="1"/>
  <c r="W276" i="16" s="1"/>
  <c r="J276" i="16"/>
  <c r="I276" i="16"/>
  <c r="H276" i="16"/>
  <c r="F276" i="16"/>
  <c r="E276" i="16"/>
  <c r="D276" i="16"/>
  <c r="U275" i="16"/>
  <c r="V275" i="16" s="1"/>
  <c r="W275" i="16" s="1"/>
  <c r="J275" i="16"/>
  <c r="I275" i="16"/>
  <c r="H275" i="16"/>
  <c r="F275" i="16"/>
  <c r="E275" i="16"/>
  <c r="D275" i="16"/>
  <c r="J274" i="16"/>
  <c r="I274" i="16"/>
  <c r="H274" i="16"/>
  <c r="U274" i="16" s="1"/>
  <c r="V274" i="16" s="1"/>
  <c r="W274" i="16" s="1"/>
  <c r="F274" i="16"/>
  <c r="E274" i="16"/>
  <c r="D274" i="16"/>
  <c r="J273" i="16"/>
  <c r="I273" i="16"/>
  <c r="U273" i="16" s="1"/>
  <c r="V273" i="16" s="1"/>
  <c r="W273" i="16" s="1"/>
  <c r="H273" i="16"/>
  <c r="F273" i="16"/>
  <c r="E273" i="16"/>
  <c r="D273" i="16"/>
  <c r="U272" i="16"/>
  <c r="V272" i="16" s="1"/>
  <c r="W272" i="16" s="1"/>
  <c r="J272" i="16"/>
  <c r="I272" i="16"/>
  <c r="H272" i="16"/>
  <c r="F272" i="16"/>
  <c r="E272" i="16"/>
  <c r="D272" i="16"/>
  <c r="U271" i="16"/>
  <c r="V271" i="16" s="1"/>
  <c r="W271" i="16" s="1"/>
  <c r="J271" i="16"/>
  <c r="I271" i="16"/>
  <c r="H271" i="16"/>
  <c r="F271" i="16"/>
  <c r="E271" i="16"/>
  <c r="D271" i="16"/>
  <c r="J270" i="16"/>
  <c r="I270" i="16"/>
  <c r="H270" i="16"/>
  <c r="U270" i="16" s="1"/>
  <c r="V270" i="16" s="1"/>
  <c r="W270" i="16" s="1"/>
  <c r="F270" i="16"/>
  <c r="E270" i="16"/>
  <c r="D270" i="16"/>
  <c r="J269" i="16"/>
  <c r="I269" i="16"/>
  <c r="U269" i="16" s="1"/>
  <c r="V269" i="16" s="1"/>
  <c r="W269" i="16" s="1"/>
  <c r="H269" i="16"/>
  <c r="F269" i="16"/>
  <c r="E269" i="16"/>
  <c r="D269" i="16"/>
  <c r="U268" i="16"/>
  <c r="V268" i="16" s="1"/>
  <c r="W268" i="16" s="1"/>
  <c r="J268" i="16"/>
  <c r="I268" i="16"/>
  <c r="H268" i="16"/>
  <c r="F268" i="16"/>
  <c r="E268" i="16"/>
  <c r="D268" i="16"/>
  <c r="V267" i="16"/>
  <c r="W267" i="16" s="1"/>
  <c r="U267" i="16"/>
  <c r="J267" i="16"/>
  <c r="I267" i="16"/>
  <c r="H267" i="16"/>
  <c r="F267" i="16"/>
  <c r="E267" i="16"/>
  <c r="D267" i="16"/>
  <c r="J266" i="16"/>
  <c r="I266" i="16"/>
  <c r="H266" i="16"/>
  <c r="U266" i="16" s="1"/>
  <c r="V266" i="16" s="1"/>
  <c r="W266" i="16" s="1"/>
  <c r="F266" i="16"/>
  <c r="E266" i="16"/>
  <c r="D266" i="16"/>
  <c r="J265" i="16"/>
  <c r="I265" i="16"/>
  <c r="U265" i="16" s="1"/>
  <c r="V265" i="16" s="1"/>
  <c r="W265" i="16" s="1"/>
  <c r="H265" i="16"/>
  <c r="F265" i="16"/>
  <c r="E265" i="16"/>
  <c r="D265" i="16"/>
  <c r="U264" i="16"/>
  <c r="V264" i="16" s="1"/>
  <c r="W264" i="16" s="1"/>
  <c r="J264" i="16"/>
  <c r="I264" i="16"/>
  <c r="H264" i="16"/>
  <c r="F264" i="16"/>
  <c r="E264" i="16"/>
  <c r="D264" i="16"/>
  <c r="U263" i="16"/>
  <c r="V263" i="16" s="1"/>
  <c r="W263" i="16" s="1"/>
  <c r="J263" i="16"/>
  <c r="I263" i="16"/>
  <c r="H263" i="16"/>
  <c r="F263" i="16"/>
  <c r="E263" i="16"/>
  <c r="D263" i="16"/>
  <c r="J262" i="16"/>
  <c r="I262" i="16"/>
  <c r="H262" i="16"/>
  <c r="F262" i="16"/>
  <c r="E262" i="16"/>
  <c r="D262" i="16"/>
  <c r="J261" i="16"/>
  <c r="I261" i="16"/>
  <c r="U261" i="16" s="1"/>
  <c r="V261" i="16" s="1"/>
  <c r="W261" i="16" s="1"/>
  <c r="H261" i="16"/>
  <c r="F261" i="16"/>
  <c r="E261" i="16"/>
  <c r="D261" i="16"/>
  <c r="U260" i="16"/>
  <c r="V260" i="16" s="1"/>
  <c r="W260" i="16" s="1"/>
  <c r="J260" i="16"/>
  <c r="I260" i="16"/>
  <c r="H260" i="16"/>
  <c r="F260" i="16"/>
  <c r="E260" i="16"/>
  <c r="D260" i="16"/>
  <c r="U259" i="16"/>
  <c r="V259" i="16" s="1"/>
  <c r="W259" i="16" s="1"/>
  <c r="J259" i="16"/>
  <c r="I259" i="16"/>
  <c r="H259" i="16"/>
  <c r="F259" i="16"/>
  <c r="E259" i="16"/>
  <c r="D259" i="16"/>
  <c r="J258" i="16"/>
  <c r="I258" i="16"/>
  <c r="H258" i="16"/>
  <c r="U258" i="16" s="1"/>
  <c r="V258" i="16" s="1"/>
  <c r="W258" i="16" s="1"/>
  <c r="F258" i="16"/>
  <c r="E258" i="16"/>
  <c r="D258" i="16"/>
  <c r="J257" i="16"/>
  <c r="I257" i="16"/>
  <c r="U257" i="16" s="1"/>
  <c r="V257" i="16" s="1"/>
  <c r="W257" i="16" s="1"/>
  <c r="H257" i="16"/>
  <c r="F257" i="16"/>
  <c r="E257" i="16"/>
  <c r="D257" i="16"/>
  <c r="U256" i="16"/>
  <c r="V256" i="16" s="1"/>
  <c r="W256" i="16" s="1"/>
  <c r="J256" i="16"/>
  <c r="I256" i="16"/>
  <c r="H256" i="16"/>
  <c r="F256" i="16"/>
  <c r="E256" i="16"/>
  <c r="D256" i="16"/>
  <c r="U255" i="16"/>
  <c r="V255" i="16" s="1"/>
  <c r="W255" i="16" s="1"/>
  <c r="J255" i="16"/>
  <c r="I255" i="16"/>
  <c r="H255" i="16"/>
  <c r="F255" i="16"/>
  <c r="E255" i="16"/>
  <c r="D255" i="16"/>
  <c r="J254" i="16"/>
  <c r="I254" i="16"/>
  <c r="H254" i="16"/>
  <c r="U254" i="16" s="1"/>
  <c r="V254" i="16" s="1"/>
  <c r="W254" i="16" s="1"/>
  <c r="F254" i="16"/>
  <c r="E254" i="16"/>
  <c r="D254" i="16"/>
  <c r="J253" i="16"/>
  <c r="I253" i="16"/>
  <c r="U253" i="16" s="1"/>
  <c r="V253" i="16" s="1"/>
  <c r="W253" i="16" s="1"/>
  <c r="H253" i="16"/>
  <c r="F253" i="16"/>
  <c r="E253" i="16"/>
  <c r="D253" i="16"/>
  <c r="U252" i="16"/>
  <c r="V252" i="16" s="1"/>
  <c r="W252" i="16" s="1"/>
  <c r="J252" i="16"/>
  <c r="I252" i="16"/>
  <c r="H252" i="16"/>
  <c r="F252" i="16"/>
  <c r="E252" i="16"/>
  <c r="D252" i="16"/>
  <c r="V251" i="16"/>
  <c r="W251" i="16" s="1"/>
  <c r="U251" i="16"/>
  <c r="J251" i="16"/>
  <c r="I251" i="16"/>
  <c r="H251" i="16"/>
  <c r="F251" i="16"/>
  <c r="E251" i="16"/>
  <c r="D251" i="16"/>
  <c r="J250" i="16"/>
  <c r="I250" i="16"/>
  <c r="H250" i="16"/>
  <c r="U250" i="16" s="1"/>
  <c r="V250" i="16" s="1"/>
  <c r="W250" i="16" s="1"/>
  <c r="F250" i="16"/>
  <c r="E250" i="16"/>
  <c r="D250" i="16"/>
  <c r="J249" i="16"/>
  <c r="I249" i="16"/>
  <c r="U249" i="16" s="1"/>
  <c r="V249" i="16" s="1"/>
  <c r="W249" i="16" s="1"/>
  <c r="H249" i="16"/>
  <c r="F249" i="16"/>
  <c r="E249" i="16"/>
  <c r="D249" i="16"/>
  <c r="U248" i="16"/>
  <c r="V248" i="16" s="1"/>
  <c r="W248" i="16" s="1"/>
  <c r="J248" i="16"/>
  <c r="I248" i="16"/>
  <c r="H248" i="16"/>
  <c r="F248" i="16"/>
  <c r="E248" i="16"/>
  <c r="D248" i="16"/>
  <c r="U247" i="16"/>
  <c r="V247" i="16" s="1"/>
  <c r="W247" i="16" s="1"/>
  <c r="J247" i="16"/>
  <c r="I247" i="16"/>
  <c r="H247" i="16"/>
  <c r="F247" i="16"/>
  <c r="E247" i="16"/>
  <c r="D247" i="16"/>
  <c r="J246" i="16"/>
  <c r="I246" i="16"/>
  <c r="H246" i="16"/>
  <c r="F246" i="16"/>
  <c r="E246" i="16"/>
  <c r="D246" i="16"/>
  <c r="J245" i="16"/>
  <c r="I245" i="16"/>
  <c r="U245" i="16" s="1"/>
  <c r="V245" i="16" s="1"/>
  <c r="W245" i="16" s="1"/>
  <c r="H245" i="16"/>
  <c r="F245" i="16"/>
  <c r="E245" i="16"/>
  <c r="D245" i="16"/>
  <c r="U244" i="16"/>
  <c r="V244" i="16" s="1"/>
  <c r="W244" i="16" s="1"/>
  <c r="J244" i="16"/>
  <c r="I244" i="16"/>
  <c r="H244" i="16"/>
  <c r="F244" i="16"/>
  <c r="E244" i="16"/>
  <c r="D244" i="16"/>
  <c r="U243" i="16"/>
  <c r="V243" i="16" s="1"/>
  <c r="W243" i="16" s="1"/>
  <c r="J243" i="16"/>
  <c r="I243" i="16"/>
  <c r="H243" i="16"/>
  <c r="F243" i="16"/>
  <c r="E243" i="16"/>
  <c r="D243" i="16"/>
  <c r="J242" i="16"/>
  <c r="I242" i="16"/>
  <c r="H242" i="16"/>
  <c r="U242" i="16" s="1"/>
  <c r="V242" i="16" s="1"/>
  <c r="W242" i="16" s="1"/>
  <c r="F242" i="16"/>
  <c r="E242" i="16"/>
  <c r="D242" i="16"/>
  <c r="J241" i="16"/>
  <c r="I241" i="16"/>
  <c r="U241" i="16" s="1"/>
  <c r="V241" i="16" s="1"/>
  <c r="W241" i="16" s="1"/>
  <c r="H241" i="16"/>
  <c r="F241" i="16"/>
  <c r="E241" i="16"/>
  <c r="D241" i="16"/>
  <c r="U240" i="16"/>
  <c r="V240" i="16" s="1"/>
  <c r="W240" i="16" s="1"/>
  <c r="J240" i="16"/>
  <c r="I240" i="16"/>
  <c r="H240" i="16"/>
  <c r="F240" i="16"/>
  <c r="E240" i="16"/>
  <c r="D240" i="16"/>
  <c r="U239" i="16"/>
  <c r="V239" i="16" s="1"/>
  <c r="W239" i="16" s="1"/>
  <c r="J239" i="16"/>
  <c r="I239" i="16"/>
  <c r="H239" i="16"/>
  <c r="F239" i="16"/>
  <c r="E239" i="16"/>
  <c r="D239" i="16"/>
  <c r="J238" i="16"/>
  <c r="I238" i="16"/>
  <c r="H238" i="16"/>
  <c r="U238" i="16" s="1"/>
  <c r="V238" i="16" s="1"/>
  <c r="W238" i="16" s="1"/>
  <c r="F238" i="16"/>
  <c r="E238" i="16"/>
  <c r="D238" i="16"/>
  <c r="J237" i="16"/>
  <c r="I237" i="16"/>
  <c r="U237" i="16" s="1"/>
  <c r="V237" i="16" s="1"/>
  <c r="W237" i="16" s="1"/>
  <c r="H237" i="16"/>
  <c r="F237" i="16"/>
  <c r="E237" i="16"/>
  <c r="D237" i="16"/>
  <c r="U236" i="16"/>
  <c r="V236" i="16" s="1"/>
  <c r="W236" i="16" s="1"/>
  <c r="J236" i="16"/>
  <c r="I236" i="16"/>
  <c r="H236" i="16"/>
  <c r="F236" i="16"/>
  <c r="E236" i="16"/>
  <c r="D236" i="16"/>
  <c r="V235" i="16"/>
  <c r="W235" i="16" s="1"/>
  <c r="U235" i="16"/>
  <c r="J235" i="16"/>
  <c r="I235" i="16"/>
  <c r="H235" i="16"/>
  <c r="F235" i="16"/>
  <c r="E235" i="16"/>
  <c r="D235" i="16"/>
  <c r="J234" i="16"/>
  <c r="I234" i="16"/>
  <c r="H234" i="16"/>
  <c r="U234" i="16" s="1"/>
  <c r="V234" i="16" s="1"/>
  <c r="W234" i="16" s="1"/>
  <c r="F234" i="16"/>
  <c r="E234" i="16"/>
  <c r="D234" i="16"/>
  <c r="J233" i="16"/>
  <c r="I233" i="16"/>
  <c r="U233" i="16" s="1"/>
  <c r="V233" i="16" s="1"/>
  <c r="W233" i="16" s="1"/>
  <c r="H233" i="16"/>
  <c r="F233" i="16"/>
  <c r="E233" i="16"/>
  <c r="D233" i="16"/>
  <c r="U232" i="16"/>
  <c r="V232" i="16" s="1"/>
  <c r="W232" i="16" s="1"/>
  <c r="J232" i="16"/>
  <c r="I232" i="16"/>
  <c r="H232" i="16"/>
  <c r="F232" i="16"/>
  <c r="E232" i="16"/>
  <c r="D232" i="16"/>
  <c r="U231" i="16"/>
  <c r="V231" i="16" s="1"/>
  <c r="W231" i="16" s="1"/>
  <c r="J231" i="16"/>
  <c r="I231" i="16"/>
  <c r="H231" i="16"/>
  <c r="F231" i="16"/>
  <c r="E231" i="16"/>
  <c r="D231" i="16"/>
  <c r="J230" i="16"/>
  <c r="I230" i="16"/>
  <c r="H230" i="16"/>
  <c r="F230" i="16"/>
  <c r="E230" i="16"/>
  <c r="D230" i="16"/>
  <c r="J229" i="16"/>
  <c r="I229" i="16"/>
  <c r="U229" i="16" s="1"/>
  <c r="V229" i="16" s="1"/>
  <c r="W229" i="16" s="1"/>
  <c r="H229" i="16"/>
  <c r="F229" i="16"/>
  <c r="E229" i="16"/>
  <c r="D229" i="16"/>
  <c r="U228" i="16"/>
  <c r="V228" i="16" s="1"/>
  <c r="W228" i="16" s="1"/>
  <c r="J228" i="16"/>
  <c r="I228" i="16"/>
  <c r="H228" i="16"/>
  <c r="F228" i="16"/>
  <c r="E228" i="16"/>
  <c r="D228" i="16"/>
  <c r="U227" i="16"/>
  <c r="V227" i="16" s="1"/>
  <c r="W227" i="16" s="1"/>
  <c r="J227" i="16"/>
  <c r="I227" i="16"/>
  <c r="H227" i="16"/>
  <c r="F227" i="16"/>
  <c r="E227" i="16"/>
  <c r="D227" i="16"/>
  <c r="J226" i="16"/>
  <c r="I226" i="16"/>
  <c r="H226" i="16"/>
  <c r="U226" i="16" s="1"/>
  <c r="V226" i="16" s="1"/>
  <c r="W226" i="16" s="1"/>
  <c r="F226" i="16"/>
  <c r="E226" i="16"/>
  <c r="D226" i="16"/>
  <c r="J225" i="16"/>
  <c r="I225" i="16"/>
  <c r="U225" i="16" s="1"/>
  <c r="V225" i="16" s="1"/>
  <c r="W225" i="16" s="1"/>
  <c r="H225" i="16"/>
  <c r="F225" i="16"/>
  <c r="E225" i="16"/>
  <c r="D225" i="16"/>
  <c r="U224" i="16"/>
  <c r="V224" i="16" s="1"/>
  <c r="W224" i="16" s="1"/>
  <c r="J224" i="16"/>
  <c r="I224" i="16"/>
  <c r="H224" i="16"/>
  <c r="F224" i="16"/>
  <c r="E224" i="16"/>
  <c r="D224" i="16"/>
  <c r="U223" i="16"/>
  <c r="V223" i="16" s="1"/>
  <c r="W223" i="16" s="1"/>
  <c r="J223" i="16"/>
  <c r="I223" i="16"/>
  <c r="H223" i="16"/>
  <c r="F223" i="16"/>
  <c r="E223" i="16"/>
  <c r="D223" i="16"/>
  <c r="J222" i="16"/>
  <c r="I222" i="16"/>
  <c r="H222" i="16"/>
  <c r="U222" i="16" s="1"/>
  <c r="V222" i="16" s="1"/>
  <c r="W222" i="16" s="1"/>
  <c r="F222" i="16"/>
  <c r="E222" i="16"/>
  <c r="D222" i="16"/>
  <c r="J221" i="16"/>
  <c r="I221" i="16"/>
  <c r="U221" i="16" s="1"/>
  <c r="V221" i="16" s="1"/>
  <c r="W221" i="16" s="1"/>
  <c r="H221" i="16"/>
  <c r="F221" i="16"/>
  <c r="E221" i="16"/>
  <c r="D221" i="16"/>
  <c r="U220" i="16"/>
  <c r="V220" i="16" s="1"/>
  <c r="W220" i="16" s="1"/>
  <c r="J220" i="16"/>
  <c r="I220" i="16"/>
  <c r="H220" i="16"/>
  <c r="F220" i="16"/>
  <c r="E220" i="16"/>
  <c r="D220" i="16"/>
  <c r="V219" i="16"/>
  <c r="W219" i="16" s="1"/>
  <c r="U219" i="16"/>
  <c r="J219" i="16"/>
  <c r="I219" i="16"/>
  <c r="H219" i="16"/>
  <c r="F219" i="16"/>
  <c r="E219" i="16"/>
  <c r="D219" i="16"/>
  <c r="J218" i="16"/>
  <c r="I218" i="16"/>
  <c r="H218" i="16"/>
  <c r="U218" i="16" s="1"/>
  <c r="V218" i="16" s="1"/>
  <c r="W218" i="16" s="1"/>
  <c r="F218" i="16"/>
  <c r="E218" i="16"/>
  <c r="D218" i="16"/>
  <c r="J217" i="16"/>
  <c r="I217" i="16"/>
  <c r="U217" i="16" s="1"/>
  <c r="V217" i="16" s="1"/>
  <c r="W217" i="16" s="1"/>
  <c r="H217" i="16"/>
  <c r="F217" i="16"/>
  <c r="E217" i="16"/>
  <c r="D217" i="16"/>
  <c r="U216" i="16"/>
  <c r="V216" i="16" s="1"/>
  <c r="W216" i="16" s="1"/>
  <c r="J216" i="16"/>
  <c r="I216" i="16"/>
  <c r="H216" i="16"/>
  <c r="F216" i="16"/>
  <c r="E216" i="16"/>
  <c r="D216" i="16"/>
  <c r="U215" i="16"/>
  <c r="V215" i="16" s="1"/>
  <c r="W215" i="16" s="1"/>
  <c r="J215" i="16"/>
  <c r="I215" i="16"/>
  <c r="H215" i="16"/>
  <c r="F215" i="16"/>
  <c r="E215" i="16"/>
  <c r="D215" i="16"/>
  <c r="J214" i="16"/>
  <c r="I214" i="16"/>
  <c r="H214" i="16"/>
  <c r="F214" i="16"/>
  <c r="E214" i="16"/>
  <c r="D214" i="16"/>
  <c r="J213" i="16"/>
  <c r="I213" i="16"/>
  <c r="U213" i="16" s="1"/>
  <c r="V213" i="16" s="1"/>
  <c r="W213" i="16" s="1"/>
  <c r="H213" i="16"/>
  <c r="F213" i="16"/>
  <c r="E213" i="16"/>
  <c r="D213" i="16"/>
  <c r="U212" i="16"/>
  <c r="V212" i="16" s="1"/>
  <c r="W212" i="16" s="1"/>
  <c r="J212" i="16"/>
  <c r="I212" i="16"/>
  <c r="H212" i="16"/>
  <c r="F212" i="16"/>
  <c r="E212" i="16"/>
  <c r="D212" i="16"/>
  <c r="U211" i="16"/>
  <c r="V211" i="16" s="1"/>
  <c r="W211" i="16" s="1"/>
  <c r="J211" i="16"/>
  <c r="I211" i="16"/>
  <c r="H211" i="16"/>
  <c r="F211" i="16"/>
  <c r="E211" i="16"/>
  <c r="D211" i="16"/>
  <c r="J210" i="16"/>
  <c r="I210" i="16"/>
  <c r="H210" i="16"/>
  <c r="U210" i="16" s="1"/>
  <c r="V210" i="16" s="1"/>
  <c r="W210" i="16" s="1"/>
  <c r="F210" i="16"/>
  <c r="E210" i="16"/>
  <c r="D210" i="16"/>
  <c r="J209" i="16"/>
  <c r="I209" i="16"/>
  <c r="U209" i="16" s="1"/>
  <c r="V209" i="16" s="1"/>
  <c r="W209" i="16" s="1"/>
  <c r="H209" i="16"/>
  <c r="F209" i="16"/>
  <c r="E209" i="16"/>
  <c r="D209" i="16"/>
  <c r="U208" i="16"/>
  <c r="V208" i="16" s="1"/>
  <c r="W208" i="16" s="1"/>
  <c r="J208" i="16"/>
  <c r="I208" i="16"/>
  <c r="H208" i="16"/>
  <c r="F208" i="16"/>
  <c r="E208" i="16"/>
  <c r="D208" i="16"/>
  <c r="V207" i="16"/>
  <c r="W207" i="16" s="1"/>
  <c r="U207" i="16"/>
  <c r="J207" i="16"/>
  <c r="I207" i="16"/>
  <c r="H207" i="16"/>
  <c r="F207" i="16"/>
  <c r="E207" i="16"/>
  <c r="D207" i="16"/>
  <c r="J206" i="16"/>
  <c r="I206" i="16"/>
  <c r="H206" i="16"/>
  <c r="U206" i="16" s="1"/>
  <c r="V206" i="16" s="1"/>
  <c r="W206" i="16" s="1"/>
  <c r="F206" i="16"/>
  <c r="E206" i="16"/>
  <c r="D206" i="16"/>
  <c r="J205" i="16"/>
  <c r="I205" i="16"/>
  <c r="U205" i="16" s="1"/>
  <c r="V205" i="16" s="1"/>
  <c r="W205" i="16" s="1"/>
  <c r="H205" i="16"/>
  <c r="F205" i="16"/>
  <c r="E205" i="16"/>
  <c r="D205" i="16"/>
  <c r="U204" i="16"/>
  <c r="V204" i="16" s="1"/>
  <c r="W204" i="16" s="1"/>
  <c r="J204" i="16"/>
  <c r="I204" i="16"/>
  <c r="H204" i="16"/>
  <c r="F204" i="16"/>
  <c r="E204" i="16"/>
  <c r="D204" i="16"/>
  <c r="V203" i="16"/>
  <c r="W203" i="16" s="1"/>
  <c r="U203" i="16"/>
  <c r="J203" i="16"/>
  <c r="I203" i="16"/>
  <c r="H203" i="16"/>
  <c r="F203" i="16"/>
  <c r="E203" i="16"/>
  <c r="D203" i="16"/>
  <c r="J202" i="16"/>
  <c r="I202" i="16"/>
  <c r="H202" i="16"/>
  <c r="F202" i="16"/>
  <c r="E202" i="16"/>
  <c r="D202" i="16"/>
  <c r="J201" i="16"/>
  <c r="I201" i="16"/>
  <c r="U201" i="16" s="1"/>
  <c r="V201" i="16" s="1"/>
  <c r="W201" i="16" s="1"/>
  <c r="H201" i="16"/>
  <c r="F201" i="16"/>
  <c r="E201" i="16"/>
  <c r="D201" i="16"/>
  <c r="U200" i="16"/>
  <c r="V200" i="16" s="1"/>
  <c r="W200" i="16" s="1"/>
  <c r="J200" i="16"/>
  <c r="I200" i="16"/>
  <c r="H200" i="16"/>
  <c r="F200" i="16"/>
  <c r="E200" i="16"/>
  <c r="D200" i="16"/>
  <c r="U199" i="16"/>
  <c r="V199" i="16" s="1"/>
  <c r="W199" i="16" s="1"/>
  <c r="J199" i="16"/>
  <c r="I199" i="16"/>
  <c r="H199" i="16"/>
  <c r="F199" i="16"/>
  <c r="E199" i="16"/>
  <c r="D199" i="16"/>
  <c r="J198" i="16"/>
  <c r="I198" i="16"/>
  <c r="H198" i="16"/>
  <c r="F198" i="16"/>
  <c r="E198" i="16"/>
  <c r="D198" i="16"/>
  <c r="J197" i="16"/>
  <c r="I197" i="16"/>
  <c r="U197" i="16" s="1"/>
  <c r="V197" i="16" s="1"/>
  <c r="W197" i="16" s="1"/>
  <c r="H197" i="16"/>
  <c r="F197" i="16"/>
  <c r="E197" i="16"/>
  <c r="D197" i="16"/>
  <c r="U196" i="16"/>
  <c r="V196" i="16" s="1"/>
  <c r="W196" i="16" s="1"/>
  <c r="J196" i="16"/>
  <c r="I196" i="16"/>
  <c r="H196" i="16"/>
  <c r="F196" i="16"/>
  <c r="E196" i="16"/>
  <c r="D196" i="16"/>
  <c r="U195" i="16"/>
  <c r="V195" i="16" s="1"/>
  <c r="W195" i="16" s="1"/>
  <c r="J195" i="16"/>
  <c r="I195" i="16"/>
  <c r="H195" i="16"/>
  <c r="F195" i="16"/>
  <c r="E195" i="16"/>
  <c r="D195" i="16"/>
  <c r="J194" i="16"/>
  <c r="I194" i="16"/>
  <c r="H194" i="16"/>
  <c r="U194" i="16" s="1"/>
  <c r="V194" i="16" s="1"/>
  <c r="W194" i="16" s="1"/>
  <c r="F194" i="16"/>
  <c r="E194" i="16"/>
  <c r="D194" i="16"/>
  <c r="J193" i="16"/>
  <c r="I193" i="16"/>
  <c r="U193" i="16" s="1"/>
  <c r="V193" i="16" s="1"/>
  <c r="W193" i="16" s="1"/>
  <c r="H193" i="16"/>
  <c r="F193" i="16"/>
  <c r="E193" i="16"/>
  <c r="D193" i="16"/>
  <c r="U192" i="16"/>
  <c r="V192" i="16" s="1"/>
  <c r="W192" i="16" s="1"/>
  <c r="J192" i="16"/>
  <c r="I192" i="16"/>
  <c r="H192" i="16"/>
  <c r="F192" i="16"/>
  <c r="E192" i="16"/>
  <c r="D192" i="16"/>
  <c r="V191" i="16"/>
  <c r="W191" i="16" s="1"/>
  <c r="U191" i="16"/>
  <c r="J191" i="16"/>
  <c r="I191" i="16"/>
  <c r="H191" i="16"/>
  <c r="F191" i="16"/>
  <c r="E191" i="16"/>
  <c r="D191" i="16"/>
  <c r="J190" i="16"/>
  <c r="I190" i="16"/>
  <c r="H190" i="16"/>
  <c r="U190" i="16" s="1"/>
  <c r="V190" i="16" s="1"/>
  <c r="W190" i="16" s="1"/>
  <c r="F190" i="16"/>
  <c r="E190" i="16"/>
  <c r="D190" i="16"/>
  <c r="J189" i="16"/>
  <c r="I189" i="16"/>
  <c r="U189" i="16" s="1"/>
  <c r="V189" i="16" s="1"/>
  <c r="W189" i="16" s="1"/>
  <c r="H189" i="16"/>
  <c r="F189" i="16"/>
  <c r="E189" i="16"/>
  <c r="D189" i="16"/>
  <c r="U188" i="16"/>
  <c r="V188" i="16" s="1"/>
  <c r="W188" i="16" s="1"/>
  <c r="J188" i="16"/>
  <c r="I188" i="16"/>
  <c r="H188" i="16"/>
  <c r="F188" i="16"/>
  <c r="E188" i="16"/>
  <c r="D188" i="16"/>
  <c r="V187" i="16"/>
  <c r="W187" i="16" s="1"/>
  <c r="U187" i="16"/>
  <c r="J187" i="16"/>
  <c r="I187" i="16"/>
  <c r="H187" i="16"/>
  <c r="F187" i="16"/>
  <c r="E187" i="16"/>
  <c r="D187" i="16"/>
  <c r="J186" i="16"/>
  <c r="I186" i="16"/>
  <c r="H186" i="16"/>
  <c r="F186" i="16"/>
  <c r="E186" i="16"/>
  <c r="D186" i="16"/>
  <c r="J185" i="16"/>
  <c r="U185" i="16" s="1"/>
  <c r="V185" i="16" s="1"/>
  <c r="W185" i="16" s="1"/>
  <c r="I185" i="16"/>
  <c r="H185" i="16"/>
  <c r="F185" i="16"/>
  <c r="E185" i="16"/>
  <c r="D185" i="16"/>
  <c r="U184" i="16"/>
  <c r="V184" i="16" s="1"/>
  <c r="W184" i="16" s="1"/>
  <c r="J184" i="16"/>
  <c r="I184" i="16"/>
  <c r="H184" i="16"/>
  <c r="F184" i="16"/>
  <c r="E184" i="16"/>
  <c r="D184" i="16"/>
  <c r="U183" i="16"/>
  <c r="V183" i="16" s="1"/>
  <c r="W183" i="16" s="1"/>
  <c r="J183" i="16"/>
  <c r="I183" i="16"/>
  <c r="H183" i="16"/>
  <c r="F183" i="16"/>
  <c r="E183" i="16"/>
  <c r="D183" i="16"/>
  <c r="J182" i="16"/>
  <c r="I182" i="16"/>
  <c r="H182" i="16"/>
  <c r="F182" i="16"/>
  <c r="E182" i="16"/>
  <c r="D182" i="16"/>
  <c r="J181" i="16"/>
  <c r="U181" i="16" s="1"/>
  <c r="V181" i="16" s="1"/>
  <c r="W181" i="16" s="1"/>
  <c r="I181" i="16"/>
  <c r="H181" i="16"/>
  <c r="F181" i="16"/>
  <c r="E181" i="16"/>
  <c r="D181" i="16"/>
  <c r="U180" i="16"/>
  <c r="V180" i="16" s="1"/>
  <c r="W180" i="16" s="1"/>
  <c r="J180" i="16"/>
  <c r="I180" i="16"/>
  <c r="H180" i="16"/>
  <c r="F180" i="16"/>
  <c r="E180" i="16"/>
  <c r="D180" i="16"/>
  <c r="U179" i="16"/>
  <c r="V179" i="16" s="1"/>
  <c r="W179" i="16" s="1"/>
  <c r="J179" i="16"/>
  <c r="I179" i="16"/>
  <c r="H179" i="16"/>
  <c r="F179" i="16"/>
  <c r="E179" i="16"/>
  <c r="D179" i="16"/>
  <c r="J178" i="16"/>
  <c r="I178" i="16"/>
  <c r="H178" i="16"/>
  <c r="U178" i="16" s="1"/>
  <c r="V178" i="16" s="1"/>
  <c r="W178" i="16" s="1"/>
  <c r="F178" i="16"/>
  <c r="E178" i="16"/>
  <c r="D178" i="16"/>
  <c r="J177" i="16"/>
  <c r="U177" i="16" s="1"/>
  <c r="V177" i="16" s="1"/>
  <c r="W177" i="16" s="1"/>
  <c r="I177" i="16"/>
  <c r="H177" i="16"/>
  <c r="F177" i="16"/>
  <c r="E177" i="16"/>
  <c r="D177" i="16"/>
  <c r="U176" i="16"/>
  <c r="V176" i="16" s="1"/>
  <c r="W176" i="16" s="1"/>
  <c r="J176" i="16"/>
  <c r="I176" i="16"/>
  <c r="H176" i="16"/>
  <c r="F176" i="16"/>
  <c r="E176" i="16"/>
  <c r="D176" i="16"/>
  <c r="V175" i="16"/>
  <c r="W175" i="16" s="1"/>
  <c r="U175" i="16"/>
  <c r="J175" i="16"/>
  <c r="I175" i="16"/>
  <c r="H175" i="16"/>
  <c r="F175" i="16"/>
  <c r="E175" i="16"/>
  <c r="D175" i="16"/>
  <c r="J174" i="16"/>
  <c r="I174" i="16"/>
  <c r="H174" i="16"/>
  <c r="U174" i="16" s="1"/>
  <c r="V174" i="16" s="1"/>
  <c r="W174" i="16" s="1"/>
  <c r="F174" i="16"/>
  <c r="E174" i="16"/>
  <c r="D174" i="16"/>
  <c r="J173" i="16"/>
  <c r="U173" i="16" s="1"/>
  <c r="V173" i="16" s="1"/>
  <c r="W173" i="16" s="1"/>
  <c r="I173" i="16"/>
  <c r="H173" i="16"/>
  <c r="F173" i="16"/>
  <c r="E173" i="16"/>
  <c r="D173" i="16"/>
  <c r="U172" i="16"/>
  <c r="V172" i="16" s="1"/>
  <c r="W172" i="16" s="1"/>
  <c r="J172" i="16"/>
  <c r="I172" i="16"/>
  <c r="H172" i="16"/>
  <c r="F172" i="16"/>
  <c r="E172" i="16"/>
  <c r="D172" i="16"/>
  <c r="V171" i="16"/>
  <c r="W171" i="16" s="1"/>
  <c r="U171" i="16"/>
  <c r="J171" i="16"/>
  <c r="I171" i="16"/>
  <c r="H171" i="16"/>
  <c r="F171" i="16"/>
  <c r="E171" i="16"/>
  <c r="D171" i="16"/>
  <c r="J170" i="16"/>
  <c r="I170" i="16"/>
  <c r="H170" i="16"/>
  <c r="F170" i="16"/>
  <c r="E170" i="16"/>
  <c r="D170" i="16"/>
  <c r="J169" i="16"/>
  <c r="U169" i="16" s="1"/>
  <c r="V169" i="16" s="1"/>
  <c r="W169" i="16" s="1"/>
  <c r="I169" i="16"/>
  <c r="H169" i="16"/>
  <c r="F169" i="16"/>
  <c r="E169" i="16"/>
  <c r="D169" i="16"/>
  <c r="U168" i="16"/>
  <c r="V168" i="16" s="1"/>
  <c r="W168" i="16" s="1"/>
  <c r="J168" i="16"/>
  <c r="I168" i="16"/>
  <c r="H168" i="16"/>
  <c r="F168" i="16"/>
  <c r="E168" i="16"/>
  <c r="D168" i="16"/>
  <c r="U167" i="16"/>
  <c r="V167" i="16" s="1"/>
  <c r="W167" i="16" s="1"/>
  <c r="J167" i="16"/>
  <c r="I167" i="16"/>
  <c r="H167" i="16"/>
  <c r="F167" i="16"/>
  <c r="E167" i="16"/>
  <c r="D167" i="16"/>
  <c r="J166" i="16"/>
  <c r="I166" i="16"/>
  <c r="H166" i="16"/>
  <c r="F166" i="16"/>
  <c r="E166" i="16"/>
  <c r="D166" i="16"/>
  <c r="J165" i="16"/>
  <c r="U165" i="16" s="1"/>
  <c r="V165" i="16" s="1"/>
  <c r="W165" i="16" s="1"/>
  <c r="I165" i="16"/>
  <c r="H165" i="16"/>
  <c r="F165" i="16"/>
  <c r="E165" i="16"/>
  <c r="D165" i="16"/>
  <c r="U164" i="16"/>
  <c r="V164" i="16" s="1"/>
  <c r="W164" i="16" s="1"/>
  <c r="J164" i="16"/>
  <c r="I164" i="16"/>
  <c r="H164" i="16"/>
  <c r="F164" i="16"/>
  <c r="E164" i="16"/>
  <c r="D164" i="16"/>
  <c r="U163" i="16"/>
  <c r="V163" i="16" s="1"/>
  <c r="W163" i="16" s="1"/>
  <c r="J163" i="16"/>
  <c r="I163" i="16"/>
  <c r="H163" i="16"/>
  <c r="F163" i="16"/>
  <c r="E163" i="16"/>
  <c r="D163" i="16"/>
  <c r="J162" i="16"/>
  <c r="I162" i="16"/>
  <c r="H162" i="16"/>
  <c r="U162" i="16" s="1"/>
  <c r="V162" i="16" s="1"/>
  <c r="W162" i="16" s="1"/>
  <c r="F162" i="16"/>
  <c r="E162" i="16"/>
  <c r="D162" i="16"/>
  <c r="J161" i="16"/>
  <c r="U161" i="16" s="1"/>
  <c r="V161" i="16" s="1"/>
  <c r="W161" i="16" s="1"/>
  <c r="I161" i="16"/>
  <c r="H161" i="16"/>
  <c r="F161" i="16"/>
  <c r="E161" i="16"/>
  <c r="D161" i="16"/>
  <c r="U160" i="16"/>
  <c r="V160" i="16" s="1"/>
  <c r="W160" i="16" s="1"/>
  <c r="J160" i="16"/>
  <c r="I160" i="16"/>
  <c r="H160" i="16"/>
  <c r="F160" i="16"/>
  <c r="E160" i="16"/>
  <c r="D160" i="16"/>
  <c r="V159" i="16"/>
  <c r="W159" i="16" s="1"/>
  <c r="U159" i="16"/>
  <c r="J159" i="16"/>
  <c r="I159" i="16"/>
  <c r="H159" i="16"/>
  <c r="F159" i="16"/>
  <c r="E159" i="16"/>
  <c r="D159" i="16"/>
  <c r="J158" i="16"/>
  <c r="I158" i="16"/>
  <c r="H158" i="16"/>
  <c r="U158" i="16" s="1"/>
  <c r="V158" i="16" s="1"/>
  <c r="W158" i="16" s="1"/>
  <c r="F158" i="16"/>
  <c r="E158" i="16"/>
  <c r="D158" i="16"/>
  <c r="J157" i="16"/>
  <c r="U157" i="16" s="1"/>
  <c r="V157" i="16" s="1"/>
  <c r="W157" i="16" s="1"/>
  <c r="I157" i="16"/>
  <c r="H157" i="16"/>
  <c r="F157" i="16"/>
  <c r="E157" i="16"/>
  <c r="D157" i="16"/>
  <c r="U156" i="16"/>
  <c r="V156" i="16" s="1"/>
  <c r="W156" i="16" s="1"/>
  <c r="J156" i="16"/>
  <c r="I156" i="16"/>
  <c r="H156" i="16"/>
  <c r="F156" i="16"/>
  <c r="E156" i="16"/>
  <c r="D156" i="16"/>
  <c r="V155" i="16"/>
  <c r="W155" i="16" s="1"/>
  <c r="U155" i="16"/>
  <c r="J155" i="16"/>
  <c r="I155" i="16"/>
  <c r="H155" i="16"/>
  <c r="F155" i="16"/>
  <c r="E155" i="16"/>
  <c r="D155" i="16"/>
  <c r="J154" i="16"/>
  <c r="I154" i="16"/>
  <c r="H154" i="16"/>
  <c r="F154" i="16"/>
  <c r="E154" i="16"/>
  <c r="D154" i="16"/>
  <c r="J153" i="16"/>
  <c r="U153" i="16" s="1"/>
  <c r="V153" i="16" s="1"/>
  <c r="W153" i="16" s="1"/>
  <c r="I153" i="16"/>
  <c r="H153" i="16"/>
  <c r="F153" i="16"/>
  <c r="E153" i="16"/>
  <c r="D153" i="16"/>
  <c r="U152" i="16"/>
  <c r="V152" i="16" s="1"/>
  <c r="W152" i="16" s="1"/>
  <c r="J152" i="16"/>
  <c r="I152" i="16"/>
  <c r="H152" i="16"/>
  <c r="F152" i="16"/>
  <c r="E152" i="16"/>
  <c r="D152" i="16"/>
  <c r="U151" i="16"/>
  <c r="V151" i="16" s="1"/>
  <c r="W151" i="16" s="1"/>
  <c r="J151" i="16"/>
  <c r="I151" i="16"/>
  <c r="H151" i="16"/>
  <c r="F151" i="16"/>
  <c r="E151" i="16"/>
  <c r="D151" i="16"/>
  <c r="J150" i="16"/>
  <c r="I150" i="16"/>
  <c r="H150" i="16"/>
  <c r="F150" i="16"/>
  <c r="E150" i="16"/>
  <c r="D150" i="16"/>
  <c r="U149" i="16"/>
  <c r="V149" i="16" s="1"/>
  <c r="W149" i="16" s="1"/>
  <c r="J149" i="16"/>
  <c r="I149" i="16"/>
  <c r="H149" i="16"/>
  <c r="F149" i="16"/>
  <c r="E149" i="16"/>
  <c r="D149" i="16"/>
  <c r="U148" i="16"/>
  <c r="V148" i="16" s="1"/>
  <c r="W148" i="16" s="1"/>
  <c r="J148" i="16"/>
  <c r="I148" i="16"/>
  <c r="H148" i="16"/>
  <c r="F148" i="16"/>
  <c r="E148" i="16"/>
  <c r="D148" i="16"/>
  <c r="V147" i="16"/>
  <c r="W147" i="16" s="1"/>
  <c r="U147" i="16"/>
  <c r="J147" i="16"/>
  <c r="I147" i="16"/>
  <c r="H147" i="16"/>
  <c r="F147" i="16"/>
  <c r="E147" i="16"/>
  <c r="D147" i="16"/>
  <c r="J146" i="16"/>
  <c r="I146" i="16"/>
  <c r="H146" i="16"/>
  <c r="F146" i="16"/>
  <c r="E146" i="16"/>
  <c r="D146" i="16"/>
  <c r="U145" i="16"/>
  <c r="V145" i="16" s="1"/>
  <c r="W145" i="16" s="1"/>
  <c r="J145" i="16"/>
  <c r="I145" i="16"/>
  <c r="H145" i="16"/>
  <c r="F145" i="16"/>
  <c r="E145" i="16"/>
  <c r="D145" i="16"/>
  <c r="U144" i="16"/>
  <c r="V144" i="16" s="1"/>
  <c r="W144" i="16" s="1"/>
  <c r="J144" i="16"/>
  <c r="I144" i="16"/>
  <c r="H144" i="16"/>
  <c r="F144" i="16"/>
  <c r="E144" i="16"/>
  <c r="D144" i="16"/>
  <c r="U143" i="16"/>
  <c r="V143" i="16" s="1"/>
  <c r="W143" i="16" s="1"/>
  <c r="J143" i="16"/>
  <c r="I143" i="16"/>
  <c r="H143" i="16"/>
  <c r="F143" i="16"/>
  <c r="E143" i="16"/>
  <c r="D143" i="16"/>
  <c r="J142" i="16"/>
  <c r="I142" i="16"/>
  <c r="H142" i="16"/>
  <c r="U142" i="16" s="1"/>
  <c r="V142" i="16" s="1"/>
  <c r="W142" i="16" s="1"/>
  <c r="F142" i="16"/>
  <c r="E142" i="16"/>
  <c r="D142" i="16"/>
  <c r="U141" i="16"/>
  <c r="V141" i="16" s="1"/>
  <c r="W141" i="16" s="1"/>
  <c r="J141" i="16"/>
  <c r="I141" i="16"/>
  <c r="H141" i="16"/>
  <c r="F141" i="16"/>
  <c r="E141" i="16"/>
  <c r="D141" i="16"/>
  <c r="U140" i="16"/>
  <c r="V140" i="16" s="1"/>
  <c r="W140" i="16" s="1"/>
  <c r="J140" i="16"/>
  <c r="I140" i="16"/>
  <c r="H140" i="16"/>
  <c r="F140" i="16"/>
  <c r="E140" i="16"/>
  <c r="D140" i="16"/>
  <c r="U139" i="16"/>
  <c r="V139" i="16" s="1"/>
  <c r="W139" i="16" s="1"/>
  <c r="J139" i="16"/>
  <c r="I139" i="16"/>
  <c r="H139" i="16"/>
  <c r="F139" i="16"/>
  <c r="E139" i="16"/>
  <c r="D139" i="16"/>
  <c r="J138" i="16"/>
  <c r="I138" i="16"/>
  <c r="H138" i="16"/>
  <c r="F138" i="16"/>
  <c r="E138" i="16"/>
  <c r="D138" i="16"/>
  <c r="U137" i="16"/>
  <c r="V137" i="16" s="1"/>
  <c r="W137" i="16" s="1"/>
  <c r="J137" i="16"/>
  <c r="I137" i="16"/>
  <c r="H137" i="16"/>
  <c r="F137" i="16"/>
  <c r="E137" i="16"/>
  <c r="D137" i="16"/>
  <c r="U136" i="16"/>
  <c r="V136" i="16" s="1"/>
  <c r="W136" i="16" s="1"/>
  <c r="J136" i="16"/>
  <c r="I136" i="16"/>
  <c r="H136" i="16"/>
  <c r="F136" i="16"/>
  <c r="E136" i="16"/>
  <c r="D136" i="16"/>
  <c r="V135" i="16"/>
  <c r="W135" i="16" s="1"/>
  <c r="U135" i="16"/>
  <c r="J135" i="16"/>
  <c r="I135" i="16"/>
  <c r="H135" i="16"/>
  <c r="F135" i="16"/>
  <c r="E135" i="16"/>
  <c r="D135" i="16"/>
  <c r="J134" i="16"/>
  <c r="I134" i="16"/>
  <c r="H134" i="16"/>
  <c r="F134" i="16"/>
  <c r="E134" i="16"/>
  <c r="D134" i="16"/>
  <c r="U133" i="16"/>
  <c r="V133" i="16" s="1"/>
  <c r="W133" i="16" s="1"/>
  <c r="J133" i="16"/>
  <c r="I133" i="16"/>
  <c r="H133" i="16"/>
  <c r="F133" i="16"/>
  <c r="E133" i="16"/>
  <c r="D133" i="16"/>
  <c r="U132" i="16"/>
  <c r="V132" i="16" s="1"/>
  <c r="W132" i="16" s="1"/>
  <c r="J132" i="16"/>
  <c r="I132" i="16"/>
  <c r="H132" i="16"/>
  <c r="F132" i="16"/>
  <c r="E132" i="16"/>
  <c r="D132" i="16"/>
  <c r="U131" i="16"/>
  <c r="V131" i="16" s="1"/>
  <c r="W131" i="16" s="1"/>
  <c r="J131" i="16"/>
  <c r="I131" i="16"/>
  <c r="H131" i="16"/>
  <c r="F131" i="16"/>
  <c r="E131" i="16"/>
  <c r="D131" i="16"/>
  <c r="J130" i="16"/>
  <c r="I130" i="16"/>
  <c r="H130" i="16"/>
  <c r="U130" i="16" s="1"/>
  <c r="V130" i="16" s="1"/>
  <c r="W130" i="16" s="1"/>
  <c r="F130" i="16"/>
  <c r="E130" i="16"/>
  <c r="D130" i="16"/>
  <c r="U129" i="16"/>
  <c r="V129" i="16" s="1"/>
  <c r="W129" i="16" s="1"/>
  <c r="J129" i="16"/>
  <c r="I129" i="16"/>
  <c r="H129" i="16"/>
  <c r="F129" i="16"/>
  <c r="E129" i="16"/>
  <c r="D129" i="16"/>
  <c r="U128" i="16"/>
  <c r="V128" i="16" s="1"/>
  <c r="W128" i="16" s="1"/>
  <c r="J128" i="16"/>
  <c r="I128" i="16"/>
  <c r="H128" i="16"/>
  <c r="F128" i="16"/>
  <c r="E128" i="16"/>
  <c r="D128" i="16"/>
  <c r="J127" i="16"/>
  <c r="I127" i="16"/>
  <c r="H127" i="16"/>
  <c r="U127" i="16" s="1"/>
  <c r="V127" i="16" s="1"/>
  <c r="W127" i="16" s="1"/>
  <c r="F127" i="16"/>
  <c r="E127" i="16"/>
  <c r="D127" i="16"/>
  <c r="J126" i="16"/>
  <c r="I126" i="16"/>
  <c r="H126" i="16"/>
  <c r="F126" i="16"/>
  <c r="E126" i="16"/>
  <c r="D126" i="16"/>
  <c r="U125" i="16"/>
  <c r="V125" i="16" s="1"/>
  <c r="W125" i="16" s="1"/>
  <c r="J125" i="16"/>
  <c r="I125" i="16"/>
  <c r="H125" i="16"/>
  <c r="F125" i="16"/>
  <c r="E125" i="16"/>
  <c r="D125" i="16"/>
  <c r="U124" i="16"/>
  <c r="V124" i="16" s="1"/>
  <c r="W124" i="16" s="1"/>
  <c r="J124" i="16"/>
  <c r="I124" i="16"/>
  <c r="H124" i="16"/>
  <c r="F124" i="16"/>
  <c r="E124" i="16"/>
  <c r="D124" i="16"/>
  <c r="J123" i="16"/>
  <c r="I123" i="16"/>
  <c r="H123" i="16"/>
  <c r="U123" i="16" s="1"/>
  <c r="V123" i="16" s="1"/>
  <c r="W123" i="16" s="1"/>
  <c r="F123" i="16"/>
  <c r="E123" i="16"/>
  <c r="D123" i="16"/>
  <c r="J122" i="16"/>
  <c r="I122" i="16"/>
  <c r="H122" i="16"/>
  <c r="F122" i="16"/>
  <c r="E122" i="16"/>
  <c r="D122" i="16"/>
  <c r="U121" i="16"/>
  <c r="V121" i="16" s="1"/>
  <c r="W121" i="16" s="1"/>
  <c r="J121" i="16"/>
  <c r="I121" i="16"/>
  <c r="H121" i="16"/>
  <c r="F121" i="16"/>
  <c r="E121" i="16"/>
  <c r="D121" i="16"/>
  <c r="U120" i="16"/>
  <c r="V120" i="16" s="1"/>
  <c r="W120" i="16" s="1"/>
  <c r="J120" i="16"/>
  <c r="I120" i="16"/>
  <c r="H120" i="16"/>
  <c r="F120" i="16"/>
  <c r="E120" i="16"/>
  <c r="D120" i="16"/>
  <c r="U119" i="16"/>
  <c r="V119" i="16" s="1"/>
  <c r="W119" i="16" s="1"/>
  <c r="J119" i="16"/>
  <c r="I119" i="16"/>
  <c r="H119" i="16"/>
  <c r="F119" i="16"/>
  <c r="E119" i="16"/>
  <c r="D119" i="16"/>
  <c r="J118" i="16"/>
  <c r="I118" i="16"/>
  <c r="H118" i="16"/>
  <c r="U118" i="16" s="1"/>
  <c r="V118" i="16" s="1"/>
  <c r="W118" i="16" s="1"/>
  <c r="F118" i="16"/>
  <c r="E118" i="16"/>
  <c r="D118" i="16"/>
  <c r="U117" i="16"/>
  <c r="V117" i="16" s="1"/>
  <c r="W117" i="16" s="1"/>
  <c r="J117" i="16"/>
  <c r="I117" i="16"/>
  <c r="H117" i="16"/>
  <c r="F117" i="16"/>
  <c r="E117" i="16"/>
  <c r="D117" i="16"/>
  <c r="U116" i="16"/>
  <c r="V116" i="16" s="1"/>
  <c r="W116" i="16" s="1"/>
  <c r="J116" i="16"/>
  <c r="I116" i="16"/>
  <c r="H116" i="16"/>
  <c r="F116" i="16"/>
  <c r="E116" i="16"/>
  <c r="D116" i="16"/>
  <c r="J115" i="16"/>
  <c r="I115" i="16"/>
  <c r="H115" i="16"/>
  <c r="U115" i="16" s="1"/>
  <c r="V115" i="16" s="1"/>
  <c r="W115" i="16" s="1"/>
  <c r="F115" i="16"/>
  <c r="E115" i="16"/>
  <c r="D115" i="16"/>
  <c r="J114" i="16"/>
  <c r="I114" i="16"/>
  <c r="H114" i="16"/>
  <c r="F114" i="16"/>
  <c r="E114" i="16"/>
  <c r="D114" i="16"/>
  <c r="U113" i="16"/>
  <c r="V113" i="16" s="1"/>
  <c r="W113" i="16" s="1"/>
  <c r="J113" i="16"/>
  <c r="I113" i="16"/>
  <c r="H113" i="16"/>
  <c r="F113" i="16"/>
  <c r="E113" i="16"/>
  <c r="D113" i="16"/>
  <c r="U112" i="16"/>
  <c r="V112" i="16" s="1"/>
  <c r="W112" i="16" s="1"/>
  <c r="J112" i="16"/>
  <c r="I112" i="16"/>
  <c r="H112" i="16"/>
  <c r="F112" i="16"/>
  <c r="E112" i="16"/>
  <c r="D112" i="16"/>
  <c r="V111" i="16"/>
  <c r="W111" i="16" s="1"/>
  <c r="U111" i="16"/>
  <c r="J111" i="16"/>
  <c r="I111" i="16"/>
  <c r="H111" i="16"/>
  <c r="F111" i="16"/>
  <c r="E111" i="16"/>
  <c r="D111" i="16"/>
  <c r="J110" i="16"/>
  <c r="I110" i="16"/>
  <c r="H110" i="16"/>
  <c r="F110" i="16"/>
  <c r="E110" i="16"/>
  <c r="D110" i="16"/>
  <c r="U109" i="16"/>
  <c r="V109" i="16" s="1"/>
  <c r="W109" i="16" s="1"/>
  <c r="J109" i="16"/>
  <c r="I109" i="16"/>
  <c r="H109" i="16"/>
  <c r="F109" i="16"/>
  <c r="E109" i="16"/>
  <c r="D109" i="16"/>
  <c r="U108" i="16"/>
  <c r="V108" i="16" s="1"/>
  <c r="W108" i="16" s="1"/>
  <c r="J108" i="16"/>
  <c r="I108" i="16"/>
  <c r="H108" i="16"/>
  <c r="F108" i="16"/>
  <c r="E108" i="16"/>
  <c r="D108" i="16"/>
  <c r="U107" i="16"/>
  <c r="V107" i="16" s="1"/>
  <c r="W107" i="16" s="1"/>
  <c r="J107" i="16"/>
  <c r="I107" i="16"/>
  <c r="H107" i="16"/>
  <c r="F107" i="16"/>
  <c r="E107" i="16"/>
  <c r="D107" i="16"/>
  <c r="J106" i="16"/>
  <c r="I106" i="16"/>
  <c r="H106" i="16"/>
  <c r="U106" i="16" s="1"/>
  <c r="V106" i="16" s="1"/>
  <c r="W106" i="16" s="1"/>
  <c r="F106" i="16"/>
  <c r="E106" i="16"/>
  <c r="D106" i="16"/>
  <c r="U105" i="16"/>
  <c r="V105" i="16" s="1"/>
  <c r="W105" i="16" s="1"/>
  <c r="J105" i="16"/>
  <c r="I105" i="16"/>
  <c r="H105" i="16"/>
  <c r="F105" i="16"/>
  <c r="E105" i="16"/>
  <c r="D105" i="16"/>
  <c r="U104" i="16"/>
  <c r="V104" i="16" s="1"/>
  <c r="W104" i="16" s="1"/>
  <c r="J104" i="16"/>
  <c r="I104" i="16"/>
  <c r="H104" i="16"/>
  <c r="F104" i="16"/>
  <c r="E104" i="16"/>
  <c r="D104" i="16"/>
  <c r="J103" i="16"/>
  <c r="I103" i="16"/>
  <c r="H103" i="16"/>
  <c r="U103" i="16" s="1"/>
  <c r="V103" i="16" s="1"/>
  <c r="W103" i="16" s="1"/>
  <c r="F103" i="16"/>
  <c r="E103" i="16"/>
  <c r="D103" i="16"/>
  <c r="J102" i="16"/>
  <c r="I102" i="16"/>
  <c r="H102" i="16"/>
  <c r="F102" i="16"/>
  <c r="E102" i="16"/>
  <c r="D102" i="16"/>
  <c r="U101" i="16"/>
  <c r="V101" i="16" s="1"/>
  <c r="W101" i="16" s="1"/>
  <c r="J101" i="16"/>
  <c r="I101" i="16"/>
  <c r="H101" i="16"/>
  <c r="F101" i="16"/>
  <c r="E101" i="16"/>
  <c r="D101" i="16"/>
  <c r="U100" i="16"/>
  <c r="V100" i="16" s="1"/>
  <c r="W100" i="16" s="1"/>
  <c r="J100" i="16"/>
  <c r="I100" i="16"/>
  <c r="H100" i="16"/>
  <c r="F100" i="16"/>
  <c r="E100" i="16"/>
  <c r="D100" i="16"/>
  <c r="J99" i="16"/>
  <c r="I99" i="16"/>
  <c r="H99" i="16"/>
  <c r="U99" i="16" s="1"/>
  <c r="V99" i="16" s="1"/>
  <c r="W99" i="16" s="1"/>
  <c r="F99" i="16"/>
  <c r="E99" i="16"/>
  <c r="D99" i="16"/>
  <c r="J98" i="16"/>
  <c r="I98" i="16"/>
  <c r="H98" i="16"/>
  <c r="F98" i="16"/>
  <c r="E98" i="16"/>
  <c r="D98" i="16"/>
  <c r="U97" i="16"/>
  <c r="V97" i="16" s="1"/>
  <c r="W97" i="16" s="1"/>
  <c r="J97" i="16"/>
  <c r="I97" i="16"/>
  <c r="H97" i="16"/>
  <c r="F97" i="16"/>
  <c r="E97" i="16"/>
  <c r="D97" i="16"/>
  <c r="U96" i="16"/>
  <c r="V96" i="16" s="1"/>
  <c r="W96" i="16" s="1"/>
  <c r="J96" i="16"/>
  <c r="I96" i="16"/>
  <c r="H96" i="16"/>
  <c r="F96" i="16"/>
  <c r="E96" i="16"/>
  <c r="D96" i="16"/>
  <c r="U95" i="16"/>
  <c r="V95" i="16" s="1"/>
  <c r="W95" i="16" s="1"/>
  <c r="J95" i="16"/>
  <c r="I95" i="16"/>
  <c r="H95" i="16"/>
  <c r="F95" i="16"/>
  <c r="E95" i="16"/>
  <c r="D95" i="16"/>
  <c r="J94" i="16"/>
  <c r="I94" i="16"/>
  <c r="H94" i="16"/>
  <c r="U94" i="16" s="1"/>
  <c r="V94" i="16" s="1"/>
  <c r="W94" i="16" s="1"/>
  <c r="F94" i="16"/>
  <c r="E94" i="16"/>
  <c r="D94" i="16"/>
  <c r="U93" i="16"/>
  <c r="V93" i="16" s="1"/>
  <c r="W93" i="16" s="1"/>
  <c r="J93" i="16"/>
  <c r="I93" i="16"/>
  <c r="H93" i="16"/>
  <c r="F93" i="16"/>
  <c r="E93" i="16"/>
  <c r="D93" i="16"/>
  <c r="U92" i="16"/>
  <c r="V92" i="16" s="1"/>
  <c r="W92" i="16" s="1"/>
  <c r="J92" i="16"/>
  <c r="I92" i="16"/>
  <c r="H92" i="16"/>
  <c r="F92" i="16"/>
  <c r="E92" i="16"/>
  <c r="D92" i="16"/>
  <c r="J91" i="16"/>
  <c r="I91" i="16"/>
  <c r="H91" i="16"/>
  <c r="U91" i="16" s="1"/>
  <c r="V91" i="16" s="1"/>
  <c r="W91" i="16" s="1"/>
  <c r="F91" i="16"/>
  <c r="E91" i="16"/>
  <c r="D91" i="16"/>
  <c r="J90" i="16"/>
  <c r="I90" i="16"/>
  <c r="H90" i="16"/>
  <c r="F90" i="16"/>
  <c r="E90" i="16"/>
  <c r="D90" i="16"/>
  <c r="U89" i="16"/>
  <c r="V89" i="16" s="1"/>
  <c r="W89" i="16" s="1"/>
  <c r="J89" i="16"/>
  <c r="I89" i="16"/>
  <c r="H89" i="16"/>
  <c r="F89" i="16"/>
  <c r="E89" i="16"/>
  <c r="D89" i="16"/>
  <c r="U88" i="16"/>
  <c r="V88" i="16" s="1"/>
  <c r="W88" i="16" s="1"/>
  <c r="J88" i="16"/>
  <c r="I88" i="16"/>
  <c r="H88" i="16"/>
  <c r="F88" i="16"/>
  <c r="E88" i="16"/>
  <c r="D88" i="16"/>
  <c r="J87" i="16"/>
  <c r="I87" i="16"/>
  <c r="H87" i="16"/>
  <c r="U87" i="16" s="1"/>
  <c r="V87" i="16" s="1"/>
  <c r="W87" i="16" s="1"/>
  <c r="F87" i="16"/>
  <c r="E87" i="16"/>
  <c r="D87" i="16"/>
  <c r="J86" i="16"/>
  <c r="I86" i="16"/>
  <c r="H86" i="16"/>
  <c r="F86" i="16"/>
  <c r="E86" i="16"/>
  <c r="D86" i="16"/>
  <c r="U85" i="16"/>
  <c r="V85" i="16" s="1"/>
  <c r="W85" i="16" s="1"/>
  <c r="J85" i="16"/>
  <c r="I85" i="16"/>
  <c r="H85" i="16"/>
  <c r="F85" i="16"/>
  <c r="E85" i="16"/>
  <c r="D85" i="16"/>
  <c r="U84" i="16"/>
  <c r="V84" i="16" s="1"/>
  <c r="W84" i="16" s="1"/>
  <c r="J84" i="16"/>
  <c r="I84" i="16"/>
  <c r="H84" i="16"/>
  <c r="F84" i="16"/>
  <c r="E84" i="16"/>
  <c r="D84" i="16"/>
  <c r="U83" i="16"/>
  <c r="V83" i="16" s="1"/>
  <c r="W83" i="16" s="1"/>
  <c r="J83" i="16"/>
  <c r="I83" i="16"/>
  <c r="H83" i="16"/>
  <c r="F83" i="16"/>
  <c r="E83" i="16"/>
  <c r="D83" i="16"/>
  <c r="J82" i="16"/>
  <c r="I82" i="16"/>
  <c r="H82" i="16"/>
  <c r="U82" i="16" s="1"/>
  <c r="V82" i="16" s="1"/>
  <c r="W82" i="16" s="1"/>
  <c r="F82" i="16"/>
  <c r="E82" i="16"/>
  <c r="D82" i="16"/>
  <c r="U81" i="16"/>
  <c r="V81" i="16" s="1"/>
  <c r="W81" i="16" s="1"/>
  <c r="J81" i="16"/>
  <c r="I81" i="16"/>
  <c r="H81" i="16"/>
  <c r="F81" i="16"/>
  <c r="E81" i="16"/>
  <c r="D81" i="16"/>
  <c r="U80" i="16"/>
  <c r="V80" i="16" s="1"/>
  <c r="W80" i="16" s="1"/>
  <c r="J80" i="16"/>
  <c r="I80" i="16"/>
  <c r="H80" i="16"/>
  <c r="F80" i="16"/>
  <c r="E80" i="16"/>
  <c r="D80" i="16"/>
  <c r="J79" i="16"/>
  <c r="I79" i="16"/>
  <c r="H79" i="16"/>
  <c r="U79" i="16" s="1"/>
  <c r="V79" i="16" s="1"/>
  <c r="W79" i="16" s="1"/>
  <c r="F79" i="16"/>
  <c r="E79" i="16"/>
  <c r="D79" i="16"/>
  <c r="J78" i="16"/>
  <c r="I78" i="16"/>
  <c r="H78" i="16"/>
  <c r="F78" i="16"/>
  <c r="E78" i="16"/>
  <c r="D78" i="16"/>
  <c r="U77" i="16"/>
  <c r="V77" i="16" s="1"/>
  <c r="W77" i="16" s="1"/>
  <c r="J77" i="16"/>
  <c r="I77" i="16"/>
  <c r="H77" i="16"/>
  <c r="F77" i="16"/>
  <c r="E77" i="16"/>
  <c r="D77" i="16"/>
  <c r="U76" i="16"/>
  <c r="V76" i="16" s="1"/>
  <c r="W76" i="16" s="1"/>
  <c r="J76" i="16"/>
  <c r="I76" i="16"/>
  <c r="H76" i="16"/>
  <c r="F76" i="16"/>
  <c r="E76" i="16"/>
  <c r="D76" i="16"/>
  <c r="U75" i="16"/>
  <c r="V75" i="16" s="1"/>
  <c r="W75" i="16" s="1"/>
  <c r="J75" i="16"/>
  <c r="I75" i="16"/>
  <c r="H75" i="16"/>
  <c r="F75" i="16"/>
  <c r="E75" i="16"/>
  <c r="D75" i="16"/>
  <c r="J74" i="16"/>
  <c r="I74" i="16"/>
  <c r="H74" i="16"/>
  <c r="U74" i="16" s="1"/>
  <c r="V74" i="16" s="1"/>
  <c r="W74" i="16" s="1"/>
  <c r="F74" i="16"/>
  <c r="E74" i="16"/>
  <c r="D74" i="16"/>
  <c r="U73" i="16"/>
  <c r="V73" i="16" s="1"/>
  <c r="W73" i="16" s="1"/>
  <c r="J73" i="16"/>
  <c r="I73" i="16"/>
  <c r="H73" i="16"/>
  <c r="F73" i="16"/>
  <c r="E73" i="16"/>
  <c r="D73" i="16"/>
  <c r="U72" i="16"/>
  <c r="V72" i="16" s="1"/>
  <c r="W72" i="16" s="1"/>
  <c r="J72" i="16"/>
  <c r="I72" i="16"/>
  <c r="H72" i="16"/>
  <c r="F72" i="16"/>
  <c r="E72" i="16"/>
  <c r="D72" i="16"/>
  <c r="J71" i="16"/>
  <c r="I71" i="16"/>
  <c r="H71" i="16"/>
  <c r="U71" i="16" s="1"/>
  <c r="V71" i="16" s="1"/>
  <c r="W71" i="16" s="1"/>
  <c r="F71" i="16"/>
  <c r="E71" i="16"/>
  <c r="D71" i="16"/>
  <c r="J70" i="16"/>
  <c r="I70" i="16"/>
  <c r="H70" i="16"/>
  <c r="F70" i="16"/>
  <c r="E70" i="16"/>
  <c r="D70" i="16"/>
  <c r="U69" i="16"/>
  <c r="V69" i="16" s="1"/>
  <c r="W69" i="16" s="1"/>
  <c r="J69" i="16"/>
  <c r="I69" i="16"/>
  <c r="H69" i="16"/>
  <c r="F69" i="16"/>
  <c r="E69" i="16"/>
  <c r="D69" i="16"/>
  <c r="V68" i="16"/>
  <c r="W68" i="16" s="1"/>
  <c r="U68" i="16"/>
  <c r="J68" i="16"/>
  <c r="I68" i="16"/>
  <c r="H68" i="16"/>
  <c r="F68" i="16"/>
  <c r="E68" i="16"/>
  <c r="D68" i="16"/>
  <c r="J67" i="16"/>
  <c r="I67" i="16"/>
  <c r="H67" i="16"/>
  <c r="U67" i="16" s="1"/>
  <c r="V67" i="16" s="1"/>
  <c r="W67" i="16" s="1"/>
  <c r="F67" i="16"/>
  <c r="E67" i="16"/>
  <c r="D67" i="16"/>
  <c r="J66" i="16"/>
  <c r="I66" i="16"/>
  <c r="H66" i="16"/>
  <c r="F66" i="16"/>
  <c r="E66" i="16"/>
  <c r="D66" i="16"/>
  <c r="U65" i="16"/>
  <c r="V65" i="16" s="1"/>
  <c r="W65" i="16" s="1"/>
  <c r="J65" i="16"/>
  <c r="I65" i="16"/>
  <c r="H65" i="16"/>
  <c r="F65" i="16"/>
  <c r="E65" i="16"/>
  <c r="D65" i="16"/>
  <c r="J64" i="16"/>
  <c r="I64" i="16"/>
  <c r="H64" i="16"/>
  <c r="U64" i="16" s="1"/>
  <c r="V64" i="16" s="1"/>
  <c r="W64" i="16" s="1"/>
  <c r="F64" i="16"/>
  <c r="E64" i="16"/>
  <c r="D64" i="16"/>
  <c r="J63" i="16"/>
  <c r="I63" i="16"/>
  <c r="H63" i="16"/>
  <c r="U63" i="16" s="1"/>
  <c r="V63" i="16" s="1"/>
  <c r="W63" i="16" s="1"/>
  <c r="F63" i="16"/>
  <c r="E63" i="16"/>
  <c r="D63" i="16"/>
  <c r="J62" i="16"/>
  <c r="I62" i="16"/>
  <c r="H62" i="16"/>
  <c r="F62" i="16"/>
  <c r="E62" i="16"/>
  <c r="D62" i="16"/>
  <c r="U61" i="16"/>
  <c r="V61" i="16" s="1"/>
  <c r="W61" i="16" s="1"/>
  <c r="J61" i="16"/>
  <c r="I61" i="16"/>
  <c r="H61" i="16"/>
  <c r="F61" i="16"/>
  <c r="E61" i="16"/>
  <c r="D61" i="16"/>
  <c r="V60" i="16"/>
  <c r="W60" i="16" s="1"/>
  <c r="U60" i="16"/>
  <c r="J60" i="16"/>
  <c r="I60" i="16"/>
  <c r="H60" i="16"/>
  <c r="F60" i="16"/>
  <c r="E60" i="16"/>
  <c r="D60" i="16"/>
  <c r="J59" i="16"/>
  <c r="I59" i="16"/>
  <c r="H59" i="16"/>
  <c r="U59" i="16" s="1"/>
  <c r="V59" i="16" s="1"/>
  <c r="W59" i="16" s="1"/>
  <c r="F59" i="16"/>
  <c r="E59" i="16"/>
  <c r="D59" i="16"/>
  <c r="J58" i="16"/>
  <c r="I58" i="16"/>
  <c r="H58" i="16"/>
  <c r="F58" i="16"/>
  <c r="E58" i="16"/>
  <c r="D58" i="16"/>
  <c r="U57" i="16"/>
  <c r="V57" i="16" s="1"/>
  <c r="W57" i="16" s="1"/>
  <c r="J57" i="16"/>
  <c r="I57" i="16"/>
  <c r="H57" i="16"/>
  <c r="F57" i="16"/>
  <c r="E57" i="16"/>
  <c r="D57" i="16"/>
  <c r="J56" i="16"/>
  <c r="I56" i="16"/>
  <c r="H56" i="16"/>
  <c r="U56" i="16" s="1"/>
  <c r="V56" i="16" s="1"/>
  <c r="W56" i="16" s="1"/>
  <c r="F56" i="16"/>
  <c r="E56" i="16"/>
  <c r="D56" i="16"/>
  <c r="J55" i="16"/>
  <c r="I55" i="16"/>
  <c r="H55" i="16"/>
  <c r="U55" i="16" s="1"/>
  <c r="V55" i="16" s="1"/>
  <c r="W55" i="16" s="1"/>
  <c r="F55" i="16"/>
  <c r="E55" i="16"/>
  <c r="D55" i="16"/>
  <c r="J54" i="16"/>
  <c r="I54" i="16"/>
  <c r="H54" i="16"/>
  <c r="F54" i="16"/>
  <c r="E54" i="16"/>
  <c r="D54" i="16"/>
  <c r="U53" i="16"/>
  <c r="V53" i="16" s="1"/>
  <c r="W53" i="16" s="1"/>
  <c r="J53" i="16"/>
  <c r="I53" i="16"/>
  <c r="H53" i="16"/>
  <c r="F53" i="16"/>
  <c r="E53" i="16"/>
  <c r="D53" i="16"/>
  <c r="V52" i="16"/>
  <c r="W52" i="16" s="1"/>
  <c r="U52" i="16"/>
  <c r="J52" i="16"/>
  <c r="I52" i="16"/>
  <c r="H52" i="16"/>
  <c r="F52" i="16"/>
  <c r="E52" i="16"/>
  <c r="D52" i="16"/>
  <c r="J51" i="16"/>
  <c r="I51" i="16"/>
  <c r="H51" i="16"/>
  <c r="U51" i="16" s="1"/>
  <c r="V51" i="16" s="1"/>
  <c r="W51" i="16" s="1"/>
  <c r="F51" i="16"/>
  <c r="E51" i="16"/>
  <c r="D51" i="16"/>
  <c r="J50" i="16"/>
  <c r="I50" i="16"/>
  <c r="H50" i="16"/>
  <c r="F50" i="16"/>
  <c r="E50" i="16"/>
  <c r="D50" i="16"/>
  <c r="U49" i="16"/>
  <c r="V49" i="16" s="1"/>
  <c r="W49" i="16" s="1"/>
  <c r="J49" i="16"/>
  <c r="I49" i="16"/>
  <c r="H49" i="16"/>
  <c r="F49" i="16"/>
  <c r="E49" i="16"/>
  <c r="D49" i="16"/>
  <c r="J48" i="16"/>
  <c r="I48" i="16"/>
  <c r="H48" i="16"/>
  <c r="U48" i="16" s="1"/>
  <c r="V48" i="16" s="1"/>
  <c r="W48" i="16" s="1"/>
  <c r="F48" i="16"/>
  <c r="E48" i="16"/>
  <c r="D48" i="16"/>
  <c r="J47" i="16"/>
  <c r="I47" i="16"/>
  <c r="H47" i="16"/>
  <c r="U47" i="16" s="1"/>
  <c r="V47" i="16" s="1"/>
  <c r="W47" i="16" s="1"/>
  <c r="F47" i="16"/>
  <c r="E47" i="16"/>
  <c r="D47" i="16"/>
  <c r="J46" i="16"/>
  <c r="I46" i="16"/>
  <c r="H46" i="16"/>
  <c r="F46" i="16"/>
  <c r="E46" i="16"/>
  <c r="D46" i="16"/>
  <c r="U45" i="16"/>
  <c r="V45" i="16" s="1"/>
  <c r="W45" i="16" s="1"/>
  <c r="J45" i="16"/>
  <c r="I45" i="16"/>
  <c r="H45" i="16"/>
  <c r="F45" i="16"/>
  <c r="E45" i="16"/>
  <c r="D45" i="16"/>
  <c r="V44" i="16"/>
  <c r="W44" i="16" s="1"/>
  <c r="U44" i="16"/>
  <c r="J44" i="16"/>
  <c r="I44" i="16"/>
  <c r="H44" i="16"/>
  <c r="F44" i="16"/>
  <c r="E44" i="16"/>
  <c r="D44" i="16"/>
  <c r="J43" i="16"/>
  <c r="I43" i="16"/>
  <c r="H43" i="16"/>
  <c r="U43" i="16" s="1"/>
  <c r="V43" i="16" s="1"/>
  <c r="W43" i="16" s="1"/>
  <c r="F43" i="16"/>
  <c r="E43" i="16"/>
  <c r="D43" i="16"/>
  <c r="J42" i="16"/>
  <c r="I42" i="16"/>
  <c r="H42" i="16"/>
  <c r="F42" i="16"/>
  <c r="E42" i="16"/>
  <c r="D42" i="16"/>
  <c r="U41" i="16"/>
  <c r="V41" i="16" s="1"/>
  <c r="W41" i="16" s="1"/>
  <c r="J41" i="16"/>
  <c r="I41" i="16"/>
  <c r="H41" i="16"/>
  <c r="F41" i="16"/>
  <c r="E41" i="16"/>
  <c r="D41" i="16"/>
  <c r="J40" i="16"/>
  <c r="I40" i="16"/>
  <c r="H40" i="16"/>
  <c r="U40" i="16" s="1"/>
  <c r="V40" i="16" s="1"/>
  <c r="W40" i="16" s="1"/>
  <c r="F40" i="16"/>
  <c r="E40" i="16"/>
  <c r="D40" i="16"/>
  <c r="J39" i="16"/>
  <c r="I39" i="16"/>
  <c r="H39" i="16"/>
  <c r="U39" i="16" s="1"/>
  <c r="V39" i="16" s="1"/>
  <c r="W39" i="16" s="1"/>
  <c r="F39" i="16"/>
  <c r="E39" i="16"/>
  <c r="D39" i="16"/>
  <c r="J38" i="16"/>
  <c r="I38" i="16"/>
  <c r="H38" i="16"/>
  <c r="F38" i="16"/>
  <c r="E38" i="16"/>
  <c r="D38" i="16"/>
  <c r="U37" i="16"/>
  <c r="V37" i="16" s="1"/>
  <c r="W37" i="16" s="1"/>
  <c r="J37" i="16"/>
  <c r="I37" i="16"/>
  <c r="H37" i="16"/>
  <c r="F37" i="16"/>
  <c r="E37" i="16"/>
  <c r="D37" i="16"/>
  <c r="V36" i="16"/>
  <c r="W36" i="16" s="1"/>
  <c r="U36" i="16"/>
  <c r="J36" i="16"/>
  <c r="I36" i="16"/>
  <c r="H36" i="16"/>
  <c r="F36" i="16"/>
  <c r="E36" i="16"/>
  <c r="D36" i="16"/>
  <c r="J35" i="16"/>
  <c r="I35" i="16"/>
  <c r="H35" i="16"/>
  <c r="U35" i="16" s="1"/>
  <c r="V35" i="16" s="1"/>
  <c r="W35" i="16" s="1"/>
  <c r="F35" i="16"/>
  <c r="E35" i="16"/>
  <c r="D35" i="16"/>
  <c r="J34" i="16"/>
  <c r="I34" i="16"/>
  <c r="H34" i="16"/>
  <c r="F34" i="16"/>
  <c r="E34" i="16"/>
  <c r="D34" i="16"/>
  <c r="U33" i="16"/>
  <c r="V33" i="16" s="1"/>
  <c r="W33" i="16" s="1"/>
  <c r="J33" i="16"/>
  <c r="I33" i="16"/>
  <c r="H33" i="16"/>
  <c r="F33" i="16"/>
  <c r="E33" i="16"/>
  <c r="D33" i="16"/>
  <c r="J32" i="16"/>
  <c r="I32" i="16"/>
  <c r="H32" i="16"/>
  <c r="U32" i="16" s="1"/>
  <c r="V32" i="16" s="1"/>
  <c r="W32" i="16" s="1"/>
  <c r="F32" i="16"/>
  <c r="E32" i="16"/>
  <c r="D32" i="16"/>
  <c r="J31" i="16"/>
  <c r="I31" i="16"/>
  <c r="H31" i="16"/>
  <c r="U31" i="16" s="1"/>
  <c r="V31" i="16" s="1"/>
  <c r="W31" i="16" s="1"/>
  <c r="F31" i="16"/>
  <c r="E31" i="16"/>
  <c r="D31" i="16"/>
  <c r="J30" i="16"/>
  <c r="I30" i="16"/>
  <c r="H30" i="16"/>
  <c r="F30" i="16"/>
  <c r="E30" i="16"/>
  <c r="D30" i="16"/>
  <c r="U29" i="16"/>
  <c r="V29" i="16" s="1"/>
  <c r="W29" i="16" s="1"/>
  <c r="J29" i="16"/>
  <c r="I29" i="16"/>
  <c r="H29" i="16"/>
  <c r="F29" i="16"/>
  <c r="E29" i="16"/>
  <c r="D29" i="16"/>
  <c r="U28" i="16"/>
  <c r="V28" i="16" s="1"/>
  <c r="W28" i="16" s="1"/>
  <c r="J28" i="16"/>
  <c r="I28" i="16"/>
  <c r="H28" i="16"/>
  <c r="F28" i="16"/>
  <c r="E28" i="16"/>
  <c r="D28" i="16"/>
  <c r="U27" i="16"/>
  <c r="V27" i="16" s="1"/>
  <c r="W27" i="16" s="1"/>
  <c r="J27" i="16"/>
  <c r="I27" i="16"/>
  <c r="H27" i="16"/>
  <c r="F27" i="16"/>
  <c r="E27" i="16"/>
  <c r="D27" i="16"/>
  <c r="J26" i="16"/>
  <c r="I26" i="16"/>
  <c r="H26" i="16"/>
  <c r="U26" i="16" s="1"/>
  <c r="V26" i="16" s="1"/>
  <c r="W26" i="16" s="1"/>
  <c r="F26" i="16"/>
  <c r="E26" i="16"/>
  <c r="D26" i="16"/>
  <c r="W25" i="16"/>
  <c r="U25" i="16"/>
  <c r="V25" i="16" s="1"/>
  <c r="J25" i="16"/>
  <c r="I25" i="16"/>
  <c r="H25" i="16"/>
  <c r="F25" i="16"/>
  <c r="E25" i="16"/>
  <c r="D25" i="16"/>
  <c r="U24" i="16"/>
  <c r="V24" i="16" s="1"/>
  <c r="W24" i="16" s="1"/>
  <c r="J24" i="16"/>
  <c r="I24" i="16"/>
  <c r="H24" i="16"/>
  <c r="F24" i="16"/>
  <c r="E24" i="16"/>
  <c r="D24" i="16"/>
  <c r="J23" i="16"/>
  <c r="I23" i="16"/>
  <c r="H23" i="16"/>
  <c r="U23" i="16" s="1"/>
  <c r="V23" i="16" s="1"/>
  <c r="W23" i="16" s="1"/>
  <c r="F23" i="16"/>
  <c r="E23" i="16"/>
  <c r="D23" i="16"/>
  <c r="J22" i="16"/>
  <c r="I22" i="16"/>
  <c r="H22" i="16"/>
  <c r="F22" i="16"/>
  <c r="E22" i="16"/>
  <c r="D22" i="16"/>
  <c r="U21" i="16"/>
  <c r="V21" i="16" s="1"/>
  <c r="W21" i="16" s="1"/>
  <c r="J21" i="16"/>
  <c r="I21" i="16"/>
  <c r="H21" i="16"/>
  <c r="F21" i="16"/>
  <c r="E21" i="16"/>
  <c r="D21" i="16"/>
  <c r="J20" i="16"/>
  <c r="I20" i="16"/>
  <c r="H20" i="16"/>
  <c r="U20" i="16" s="1"/>
  <c r="V20" i="16" s="1"/>
  <c r="W20" i="16" s="1"/>
  <c r="F20" i="16"/>
  <c r="E20" i="16"/>
  <c r="D20" i="16"/>
  <c r="W19" i="16"/>
  <c r="V19" i="16"/>
  <c r="U19" i="16"/>
  <c r="J19" i="16"/>
  <c r="I19" i="16"/>
  <c r="H19" i="16"/>
  <c r="F19" i="16"/>
  <c r="E19" i="16"/>
  <c r="D19" i="16"/>
  <c r="J18" i="16"/>
  <c r="I18" i="16"/>
  <c r="H18" i="16"/>
  <c r="F18" i="16"/>
  <c r="E18" i="16"/>
  <c r="D18" i="16"/>
  <c r="W17" i="16"/>
  <c r="U17" i="16"/>
  <c r="V17" i="16" s="1"/>
  <c r="J17" i="16"/>
  <c r="I17" i="16"/>
  <c r="H17" i="16"/>
  <c r="F17" i="16"/>
  <c r="E17" i="16"/>
  <c r="D17" i="16"/>
  <c r="U16" i="16"/>
  <c r="V16" i="16" s="1"/>
  <c r="W16" i="16" s="1"/>
  <c r="J16" i="16"/>
  <c r="I16" i="16"/>
  <c r="H16" i="16"/>
  <c r="F16" i="16"/>
  <c r="E16" i="16"/>
  <c r="D16" i="16"/>
  <c r="U15" i="16"/>
  <c r="V15" i="16" s="1"/>
  <c r="W15" i="16" s="1"/>
  <c r="J15" i="16"/>
  <c r="I15" i="16"/>
  <c r="H15" i="16"/>
  <c r="F15" i="16"/>
  <c r="E15" i="16"/>
  <c r="D15" i="16"/>
  <c r="J14" i="16"/>
  <c r="I14" i="16"/>
  <c r="H14" i="16"/>
  <c r="U14" i="16" s="1"/>
  <c r="V14" i="16" s="1"/>
  <c r="W14" i="16" s="1"/>
  <c r="F14" i="16"/>
  <c r="E14" i="16"/>
  <c r="D14" i="16"/>
  <c r="J13" i="16"/>
  <c r="I13" i="16"/>
  <c r="U13" i="16" s="1"/>
  <c r="V13" i="16" s="1"/>
  <c r="W13" i="16" s="1"/>
  <c r="H13" i="16"/>
  <c r="F13" i="16"/>
  <c r="E13" i="16"/>
  <c r="D13" i="16"/>
  <c r="J12" i="16"/>
  <c r="U12" i="16" s="1"/>
  <c r="V12" i="16" s="1"/>
  <c r="W12" i="16" s="1"/>
  <c r="I12" i="16"/>
  <c r="H12" i="16"/>
  <c r="F12" i="16"/>
  <c r="E12" i="16"/>
  <c r="D12" i="16"/>
  <c r="J11" i="16"/>
  <c r="I11" i="16"/>
  <c r="H11" i="16"/>
  <c r="U11" i="16" s="1"/>
  <c r="V11" i="16" s="1"/>
  <c r="W11" i="16" s="1"/>
  <c r="F11" i="16"/>
  <c r="E11" i="16"/>
  <c r="D11" i="16"/>
  <c r="J10" i="16"/>
  <c r="I10" i="16"/>
  <c r="H10" i="16"/>
  <c r="F10" i="16"/>
  <c r="E10" i="16"/>
  <c r="D10" i="16"/>
  <c r="U9" i="16"/>
  <c r="V9" i="16" s="1"/>
  <c r="W9" i="16" s="1"/>
  <c r="J9" i="16"/>
  <c r="I9" i="16"/>
  <c r="H9" i="16"/>
  <c r="F9" i="16"/>
  <c r="E9" i="16"/>
  <c r="D9" i="16"/>
  <c r="J8" i="16"/>
  <c r="I8" i="16"/>
  <c r="H8" i="16"/>
  <c r="U8" i="16" s="1"/>
  <c r="V8" i="16" s="1"/>
  <c r="W8" i="16" s="1"/>
  <c r="F8" i="16"/>
  <c r="E8" i="16"/>
  <c r="D8" i="16"/>
  <c r="U7" i="16"/>
  <c r="V7" i="16" s="1"/>
  <c r="W7" i="16" s="1"/>
  <c r="J7" i="16"/>
  <c r="I7" i="16"/>
  <c r="H7" i="16"/>
  <c r="F7" i="16"/>
  <c r="E7" i="16"/>
  <c r="D7" i="16"/>
  <c r="J6" i="16"/>
  <c r="I6" i="16"/>
  <c r="H6" i="16"/>
  <c r="F6" i="16"/>
  <c r="E6" i="16"/>
  <c r="D6" i="16"/>
  <c r="J5" i="16"/>
  <c r="I5" i="16"/>
  <c r="U5" i="16" s="1"/>
  <c r="V5" i="16" s="1"/>
  <c r="W5" i="16" s="1"/>
  <c r="H5" i="16"/>
  <c r="F5" i="16"/>
  <c r="E5" i="16"/>
  <c r="D5" i="16"/>
  <c r="U4" i="16"/>
  <c r="V4" i="16" s="1"/>
  <c r="W4" i="16" s="1"/>
  <c r="J4" i="16"/>
  <c r="I4" i="16"/>
  <c r="H4" i="16"/>
  <c r="F4" i="16"/>
  <c r="E4" i="16"/>
  <c r="D4" i="16"/>
  <c r="U3" i="16"/>
  <c r="V3" i="16" s="1"/>
  <c r="W3" i="16" s="1"/>
  <c r="J3" i="16"/>
  <c r="I3" i="16"/>
  <c r="H3" i="16"/>
  <c r="F3" i="16"/>
  <c r="E3" i="16"/>
  <c r="D3" i="16"/>
  <c r="J2" i="16"/>
  <c r="I2" i="16"/>
  <c r="H2" i="16"/>
  <c r="F2" i="16"/>
  <c r="E2" i="16"/>
  <c r="D2" i="16"/>
  <c r="U34" i="16" l="1"/>
  <c r="V34" i="16" s="1"/>
  <c r="W34" i="16" s="1"/>
  <c r="U42" i="16"/>
  <c r="V42" i="16" s="1"/>
  <c r="W42" i="16" s="1"/>
  <c r="U50" i="16"/>
  <c r="V50" i="16" s="1"/>
  <c r="W50" i="16" s="1"/>
  <c r="U58" i="16"/>
  <c r="V58" i="16" s="1"/>
  <c r="W58" i="16" s="1"/>
  <c r="U66" i="16"/>
  <c r="V66" i="16" s="1"/>
  <c r="W66" i="16" s="1"/>
  <c r="U86" i="16"/>
  <c r="V86" i="16" s="1"/>
  <c r="W86" i="16" s="1"/>
  <c r="U98" i="16"/>
  <c r="V98" i="16" s="1"/>
  <c r="W98" i="16" s="1"/>
  <c r="U110" i="16"/>
  <c r="V110" i="16" s="1"/>
  <c r="W110" i="16" s="1"/>
  <c r="U122" i="16"/>
  <c r="V122" i="16" s="1"/>
  <c r="W122" i="16" s="1"/>
  <c r="U134" i="16"/>
  <c r="V134" i="16" s="1"/>
  <c r="W134" i="16" s="1"/>
  <c r="U146" i="16"/>
  <c r="V146" i="16" s="1"/>
  <c r="W146" i="16" s="1"/>
  <c r="U10" i="16"/>
  <c r="V10" i="16" s="1"/>
  <c r="W10" i="16" s="1"/>
  <c r="U22" i="16"/>
  <c r="V22" i="16" s="1"/>
  <c r="W22" i="16" s="1"/>
  <c r="U78" i="16"/>
  <c r="V78" i="16" s="1"/>
  <c r="W78" i="16" s="1"/>
  <c r="U90" i="16"/>
  <c r="V90" i="16" s="1"/>
  <c r="W90" i="16" s="1"/>
  <c r="U102" i="16"/>
  <c r="V102" i="16" s="1"/>
  <c r="W102" i="16" s="1"/>
  <c r="U114" i="16"/>
  <c r="V114" i="16" s="1"/>
  <c r="W114" i="16" s="1"/>
  <c r="U126" i="16"/>
  <c r="V126" i="16" s="1"/>
  <c r="W126" i="16" s="1"/>
  <c r="U138" i="16"/>
  <c r="V138" i="16" s="1"/>
  <c r="W138" i="16" s="1"/>
  <c r="U150" i="16"/>
  <c r="V150" i="16" s="1"/>
  <c r="W150" i="16" s="1"/>
  <c r="U166" i="16"/>
  <c r="V166" i="16" s="1"/>
  <c r="W166" i="16" s="1"/>
  <c r="U182" i="16"/>
  <c r="V182" i="16" s="1"/>
  <c r="W182" i="16" s="1"/>
  <c r="U198" i="16"/>
  <c r="V198" i="16" s="1"/>
  <c r="W198" i="16" s="1"/>
  <c r="U214" i="16"/>
  <c r="V214" i="16" s="1"/>
  <c r="W214" i="16" s="1"/>
  <c r="U230" i="16"/>
  <c r="V230" i="16" s="1"/>
  <c r="W230" i="16" s="1"/>
  <c r="U246" i="16"/>
  <c r="V246" i="16" s="1"/>
  <c r="W246" i="16" s="1"/>
  <c r="U262" i="16"/>
  <c r="V262" i="16" s="1"/>
  <c r="W262" i="16" s="1"/>
  <c r="U278" i="16"/>
  <c r="V278" i="16" s="1"/>
  <c r="W278" i="16" s="1"/>
  <c r="U294" i="16"/>
  <c r="V294" i="16" s="1"/>
  <c r="W294" i="16" s="1"/>
  <c r="U310" i="16"/>
  <c r="V310" i="16" s="1"/>
  <c r="W310" i="16" s="1"/>
  <c r="U30" i="16"/>
  <c r="V30" i="16" s="1"/>
  <c r="W30" i="16" s="1"/>
  <c r="U38" i="16"/>
  <c r="V38" i="16" s="1"/>
  <c r="W38" i="16" s="1"/>
  <c r="U46" i="16"/>
  <c r="V46" i="16" s="1"/>
  <c r="W46" i="16" s="1"/>
  <c r="U54" i="16"/>
  <c r="V54" i="16" s="1"/>
  <c r="W54" i="16" s="1"/>
  <c r="U62" i="16"/>
  <c r="V62" i="16" s="1"/>
  <c r="W62" i="16" s="1"/>
  <c r="U70" i="16"/>
  <c r="V70" i="16" s="1"/>
  <c r="W70" i="16" s="1"/>
  <c r="U6" i="16"/>
  <c r="V6" i="16" s="1"/>
  <c r="W6" i="16" s="1"/>
  <c r="U154" i="16"/>
  <c r="V154" i="16" s="1"/>
  <c r="W154" i="16" s="1"/>
  <c r="U170" i="16"/>
  <c r="V170" i="16" s="1"/>
  <c r="W170" i="16" s="1"/>
  <c r="U186" i="16"/>
  <c r="V186" i="16" s="1"/>
  <c r="W186" i="16" s="1"/>
  <c r="U202" i="16"/>
  <c r="V202" i="16" s="1"/>
  <c r="W202" i="16" s="1"/>
  <c r="U2" i="16"/>
  <c r="V2" i="16" s="1"/>
  <c r="W2" i="16" s="1"/>
  <c r="U18" i="16"/>
  <c r="V18" i="16" s="1"/>
  <c r="W18" i="16" s="1"/>
  <c r="I26" i="2" l="1"/>
  <c r="I17" i="2"/>
  <c r="I7" i="2"/>
  <c r="I32" i="2"/>
  <c r="I84" i="2"/>
  <c r="I193" i="2"/>
  <c r="I299" i="2"/>
  <c r="I292" i="2"/>
  <c r="I81" i="2"/>
  <c r="I52" i="2"/>
  <c r="I273" i="2"/>
  <c r="I282" i="2"/>
  <c r="I50" i="2"/>
  <c r="I148" i="2"/>
  <c r="I262" i="2"/>
  <c r="I141" i="2"/>
  <c r="I111" i="2"/>
  <c r="I133" i="2"/>
  <c r="I163" i="2"/>
  <c r="I14" i="2"/>
  <c r="I173" i="2"/>
  <c r="I254" i="2"/>
  <c r="I212" i="2"/>
  <c r="I83" i="2"/>
  <c r="I5" i="2"/>
  <c r="I120" i="2"/>
  <c r="I174" i="2"/>
  <c r="I22" i="2"/>
  <c r="I188" i="2"/>
  <c r="I123" i="2"/>
  <c r="I24" i="2"/>
  <c r="I6" i="2"/>
  <c r="I44" i="2"/>
  <c r="I177" i="2"/>
  <c r="I91" i="2"/>
  <c r="I272" i="2"/>
  <c r="I42" i="2"/>
  <c r="I107" i="2"/>
  <c r="I135" i="2"/>
  <c r="I139" i="2"/>
  <c r="I175" i="2"/>
  <c r="I294" i="2"/>
  <c r="I164" i="2"/>
  <c r="I4" i="2"/>
  <c r="I64" i="2"/>
  <c r="I267" i="2"/>
  <c r="I230" i="2"/>
  <c r="I60" i="2"/>
  <c r="I180" i="2"/>
  <c r="I204" i="2"/>
  <c r="I249" i="2"/>
  <c r="I11" i="2"/>
  <c r="I261" i="2"/>
  <c r="I275" i="2"/>
  <c r="I59" i="2"/>
  <c r="I95" i="2"/>
  <c r="I67" i="2"/>
  <c r="I21" i="2"/>
  <c r="I18" i="2"/>
  <c r="I300" i="2"/>
  <c r="I285" i="2"/>
  <c r="I119" i="2"/>
  <c r="I280" i="2"/>
  <c r="I94" i="2"/>
  <c r="I101" i="2"/>
  <c r="I2" i="2"/>
  <c r="I185" i="2"/>
  <c r="I297" i="2"/>
  <c r="I66" i="2"/>
  <c r="I154" i="2"/>
  <c r="I248" i="2"/>
  <c r="I205" i="2"/>
  <c r="I34" i="2"/>
  <c r="I314" i="2"/>
  <c r="I65" i="2"/>
  <c r="I128" i="2"/>
  <c r="I265" i="2"/>
  <c r="I284" i="2"/>
  <c r="I76" i="2"/>
  <c r="I88" i="2"/>
  <c r="I286" i="2"/>
  <c r="I311" i="2"/>
  <c r="I210" i="2"/>
  <c r="I225" i="2"/>
  <c r="I73" i="2"/>
  <c r="I157" i="2"/>
  <c r="I150" i="2"/>
  <c r="I263" i="2"/>
  <c r="I3" i="2"/>
  <c r="I235" i="2"/>
  <c r="I245" i="2"/>
  <c r="I167" i="2"/>
  <c r="I301" i="2"/>
  <c r="I309" i="2"/>
  <c r="I149" i="2"/>
  <c r="I126" i="2"/>
  <c r="I302" i="2"/>
  <c r="I130" i="2"/>
  <c r="I222" i="2"/>
  <c r="I255" i="2"/>
  <c r="I45" i="2"/>
  <c r="I229" i="2"/>
  <c r="I315" i="2"/>
  <c r="I257" i="2"/>
  <c r="I146" i="2"/>
  <c r="I304" i="2"/>
  <c r="I155" i="2"/>
  <c r="I234" i="2"/>
  <c r="I147" i="2"/>
  <c r="I78" i="2"/>
  <c r="I319" i="2"/>
  <c r="I256" i="2"/>
  <c r="I258" i="2"/>
  <c r="I33" i="2"/>
  <c r="I53" i="2"/>
  <c r="I208" i="2"/>
  <c r="I320" i="2"/>
  <c r="I36" i="2"/>
  <c r="I187" i="2"/>
  <c r="I40" i="2"/>
  <c r="I253" i="2"/>
  <c r="I63" i="2"/>
  <c r="I25" i="2"/>
  <c r="I318" i="2"/>
  <c r="I131" i="2"/>
  <c r="I295" i="2"/>
  <c r="I168" i="2"/>
  <c r="I223" i="2"/>
  <c r="I132" i="2"/>
  <c r="I23" i="2"/>
  <c r="I109" i="2"/>
  <c r="I39" i="2"/>
  <c r="I35" i="2"/>
  <c r="I138" i="2"/>
  <c r="I103" i="2"/>
  <c r="I29" i="2"/>
  <c r="I268" i="2"/>
  <c r="I306" i="2"/>
  <c r="I241" i="2"/>
  <c r="I270" i="2"/>
  <c r="I232" i="2"/>
  <c r="I274" i="2"/>
  <c r="I224" i="2"/>
  <c r="I68" i="2"/>
  <c r="I92" i="2"/>
  <c r="I162" i="2"/>
  <c r="I182" i="2"/>
  <c r="I74" i="2"/>
  <c r="I171" i="2"/>
  <c r="I242" i="2"/>
  <c r="I219" i="2"/>
  <c r="I97" i="2"/>
  <c r="I181" i="2"/>
  <c r="I43" i="2"/>
  <c r="I137" i="2"/>
  <c r="I113" i="2"/>
  <c r="I48" i="2"/>
  <c r="I293" i="2"/>
  <c r="I271" i="2"/>
  <c r="I41" i="2"/>
  <c r="I312" i="2"/>
  <c r="I136" i="2"/>
  <c r="I152" i="2"/>
  <c r="I264" i="2"/>
  <c r="I75" i="2"/>
  <c r="I110" i="2"/>
  <c r="I165" i="2"/>
  <c r="I93" i="2"/>
  <c r="I27" i="2"/>
  <c r="I266" i="2"/>
  <c r="I145" i="2"/>
  <c r="I201" i="2"/>
  <c r="I77" i="2"/>
  <c r="I108" i="2"/>
  <c r="I112" i="2"/>
  <c r="I196" i="2"/>
  <c r="I290" i="2"/>
  <c r="I233" i="2"/>
  <c r="I287" i="2"/>
  <c r="I221" i="2"/>
  <c r="I203" i="2"/>
  <c r="I206" i="2"/>
  <c r="I184" i="2"/>
  <c r="I104" i="2"/>
  <c r="I218" i="2"/>
  <c r="I298" i="2"/>
  <c r="I183" i="2"/>
  <c r="I259" i="2"/>
  <c r="I178" i="2"/>
  <c r="I85" i="2"/>
  <c r="I37" i="2"/>
  <c r="I62" i="2"/>
  <c r="I158" i="2"/>
  <c r="I200" i="2"/>
  <c r="I19" i="2"/>
  <c r="I291" i="2"/>
  <c r="I98" i="2"/>
  <c r="I89" i="2"/>
  <c r="I317" i="2"/>
  <c r="I71" i="2"/>
  <c r="I307" i="2"/>
  <c r="I30" i="2"/>
  <c r="I47" i="2"/>
  <c r="I82" i="2"/>
  <c r="I269" i="2"/>
  <c r="I16" i="2"/>
  <c r="I9" i="2"/>
  <c r="I179" i="2"/>
  <c r="I12" i="2"/>
  <c r="I105" i="2"/>
  <c r="I114" i="2"/>
  <c r="I283" i="2"/>
  <c r="I288" i="2"/>
  <c r="I192" i="2"/>
  <c r="I236" i="2"/>
  <c r="I197" i="2"/>
  <c r="I96" i="2"/>
  <c r="I244" i="2"/>
  <c r="I124" i="2"/>
  <c r="I170" i="2"/>
  <c r="I129" i="2"/>
  <c r="I118" i="2"/>
  <c r="I57" i="2"/>
  <c r="I207" i="2"/>
  <c r="I140" i="2"/>
  <c r="I51" i="2"/>
  <c r="I198" i="2"/>
  <c r="I31" i="2"/>
  <c r="I279" i="2"/>
  <c r="I49" i="2"/>
  <c r="I217" i="2"/>
  <c r="I296" i="2"/>
  <c r="I316" i="2"/>
  <c r="I240" i="2"/>
  <c r="I216" i="2"/>
  <c r="I15" i="2"/>
  <c r="I99" i="2"/>
  <c r="I106" i="2"/>
  <c r="I161" i="2"/>
  <c r="I209" i="2"/>
  <c r="I215" i="2"/>
  <c r="I153" i="2"/>
  <c r="I134" i="2"/>
  <c r="I190" i="2"/>
  <c r="I160" i="2"/>
  <c r="I56" i="2"/>
  <c r="I102" i="2"/>
  <c r="I194" i="2"/>
  <c r="I121" i="2"/>
  <c r="I142" i="2"/>
  <c r="I220" i="2"/>
  <c r="I127" i="2"/>
  <c r="I305" i="2"/>
  <c r="I237" i="2"/>
  <c r="I55" i="2"/>
  <c r="I313" i="2"/>
  <c r="I226" i="2"/>
  <c r="I156" i="2"/>
  <c r="I281" i="2"/>
  <c r="I191" i="2"/>
  <c r="I169" i="2"/>
  <c r="I303" i="2"/>
  <c r="I227" i="2"/>
  <c r="I90" i="2"/>
  <c r="I231" i="2"/>
  <c r="I214" i="2"/>
  <c r="I246" i="2"/>
  <c r="I8" i="2"/>
  <c r="I251" i="2"/>
  <c r="I100" i="2"/>
  <c r="I10" i="2"/>
  <c r="I189" i="2"/>
  <c r="I260" i="2"/>
  <c r="I116" i="2"/>
  <c r="I310" i="2"/>
  <c r="I28" i="2"/>
  <c r="I277" i="2"/>
  <c r="I202" i="2"/>
  <c r="I151" i="2"/>
  <c r="I54" i="2"/>
  <c r="I86" i="2"/>
  <c r="I238" i="2"/>
  <c r="I166" i="2"/>
  <c r="I186" i="2"/>
  <c r="I195" i="2"/>
  <c r="I213" i="2"/>
  <c r="I172" i="2"/>
  <c r="I247" i="2"/>
  <c r="I80" i="2"/>
  <c r="I321" i="2"/>
  <c r="I144" i="2"/>
  <c r="I69" i="2"/>
  <c r="I199" i="2"/>
  <c r="I176" i="2"/>
  <c r="I239" i="2"/>
  <c r="I143" i="2"/>
  <c r="I308" i="2"/>
  <c r="I87" i="2"/>
  <c r="I20" i="2"/>
  <c r="I79" i="2"/>
  <c r="I125" i="2"/>
  <c r="I117" i="2"/>
  <c r="I278" i="2"/>
  <c r="I276" i="2"/>
  <c r="I13" i="2"/>
  <c r="I289" i="2"/>
  <c r="I46" i="2"/>
  <c r="I115" i="2"/>
  <c r="I61" i="2"/>
  <c r="I122" i="2"/>
  <c r="I228" i="2"/>
  <c r="I250" i="2"/>
  <c r="I70" i="2"/>
  <c r="I243" i="2"/>
  <c r="I252" i="2"/>
  <c r="I38" i="2"/>
  <c r="I211" i="2"/>
  <c r="I159" i="2"/>
  <c r="I72" i="2"/>
  <c r="I58" i="2"/>
  <c r="H26" i="2"/>
  <c r="H17" i="2"/>
  <c r="H7" i="2"/>
  <c r="H32" i="2"/>
  <c r="H84" i="2"/>
  <c r="H193" i="2"/>
  <c r="H299" i="2"/>
  <c r="H292" i="2"/>
  <c r="H81" i="2"/>
  <c r="H52" i="2"/>
  <c r="H273" i="2"/>
  <c r="H282" i="2"/>
  <c r="H50" i="2"/>
  <c r="H148" i="2"/>
  <c r="H262" i="2"/>
  <c r="H141" i="2"/>
  <c r="H111" i="2"/>
  <c r="H133" i="2"/>
  <c r="H163" i="2"/>
  <c r="H14" i="2"/>
  <c r="H173" i="2"/>
  <c r="H254" i="2"/>
  <c r="H212" i="2"/>
  <c r="H83" i="2"/>
  <c r="H5" i="2"/>
  <c r="H120" i="2"/>
  <c r="H174" i="2"/>
  <c r="H22" i="2"/>
  <c r="H188" i="2"/>
  <c r="H123" i="2"/>
  <c r="H24" i="2"/>
  <c r="H6" i="2"/>
  <c r="H44" i="2"/>
  <c r="H177" i="2"/>
  <c r="H91" i="2"/>
  <c r="H272" i="2"/>
  <c r="H42" i="2"/>
  <c r="H107" i="2"/>
  <c r="H135" i="2"/>
  <c r="H139" i="2"/>
  <c r="H175" i="2"/>
  <c r="H294" i="2"/>
  <c r="H164" i="2"/>
  <c r="H4" i="2"/>
  <c r="H64" i="2"/>
  <c r="H267" i="2"/>
  <c r="H230" i="2"/>
  <c r="H60" i="2"/>
  <c r="H180" i="2"/>
  <c r="H204" i="2"/>
  <c r="H249" i="2"/>
  <c r="H11" i="2"/>
  <c r="H261" i="2"/>
  <c r="H275" i="2"/>
  <c r="H59" i="2"/>
  <c r="H95" i="2"/>
  <c r="H67" i="2"/>
  <c r="H21" i="2"/>
  <c r="H18" i="2"/>
  <c r="H300" i="2"/>
  <c r="H285" i="2"/>
  <c r="H119" i="2"/>
  <c r="H280" i="2"/>
  <c r="H94" i="2"/>
  <c r="H101" i="2"/>
  <c r="H2" i="2"/>
  <c r="H185" i="2"/>
  <c r="H297" i="2"/>
  <c r="H66" i="2"/>
  <c r="H154" i="2"/>
  <c r="H248" i="2"/>
  <c r="H205" i="2"/>
  <c r="H34" i="2"/>
  <c r="H314" i="2"/>
  <c r="H65" i="2"/>
  <c r="H128" i="2"/>
  <c r="H265" i="2"/>
  <c r="H284" i="2"/>
  <c r="H76" i="2"/>
  <c r="H88" i="2"/>
  <c r="H286" i="2"/>
  <c r="H311" i="2"/>
  <c r="H210" i="2"/>
  <c r="H225" i="2"/>
  <c r="H73" i="2"/>
  <c r="H157" i="2"/>
  <c r="H150" i="2"/>
  <c r="H263" i="2"/>
  <c r="H3" i="2"/>
  <c r="H235" i="2"/>
  <c r="H245" i="2"/>
  <c r="H167" i="2"/>
  <c r="H301" i="2"/>
  <c r="H309" i="2"/>
  <c r="H149" i="2"/>
  <c r="H126" i="2"/>
  <c r="H302" i="2"/>
  <c r="H130" i="2"/>
  <c r="H222" i="2"/>
  <c r="H255" i="2"/>
  <c r="H45" i="2"/>
  <c r="H229" i="2"/>
  <c r="H315" i="2"/>
  <c r="H257" i="2"/>
  <c r="H146" i="2"/>
  <c r="H304" i="2"/>
  <c r="H155" i="2"/>
  <c r="H234" i="2"/>
  <c r="H147" i="2"/>
  <c r="H78" i="2"/>
  <c r="H319" i="2"/>
  <c r="H256" i="2"/>
  <c r="H258" i="2"/>
  <c r="H33" i="2"/>
  <c r="H53" i="2"/>
  <c r="H208" i="2"/>
  <c r="H320" i="2"/>
  <c r="H36" i="2"/>
  <c r="H187" i="2"/>
  <c r="H40" i="2"/>
  <c r="H253" i="2"/>
  <c r="H63" i="2"/>
  <c r="H25" i="2"/>
  <c r="H318" i="2"/>
  <c r="H131" i="2"/>
  <c r="H295" i="2"/>
  <c r="H168" i="2"/>
  <c r="H223" i="2"/>
  <c r="H132" i="2"/>
  <c r="H23" i="2"/>
  <c r="H109" i="2"/>
  <c r="H39" i="2"/>
  <c r="H35" i="2"/>
  <c r="H138" i="2"/>
  <c r="H103" i="2"/>
  <c r="H29" i="2"/>
  <c r="H268" i="2"/>
  <c r="H306" i="2"/>
  <c r="H241" i="2"/>
  <c r="H270" i="2"/>
  <c r="H232" i="2"/>
  <c r="H274" i="2"/>
  <c r="H224" i="2"/>
  <c r="H68" i="2"/>
  <c r="H92" i="2"/>
  <c r="H162" i="2"/>
  <c r="H182" i="2"/>
  <c r="H74" i="2"/>
  <c r="H171" i="2"/>
  <c r="H242" i="2"/>
  <c r="H219" i="2"/>
  <c r="H97" i="2"/>
  <c r="H181" i="2"/>
  <c r="H43" i="2"/>
  <c r="H137" i="2"/>
  <c r="H113" i="2"/>
  <c r="H48" i="2"/>
  <c r="H293" i="2"/>
  <c r="H271" i="2"/>
  <c r="H41" i="2"/>
  <c r="H312" i="2"/>
  <c r="H136" i="2"/>
  <c r="H152" i="2"/>
  <c r="H264" i="2"/>
  <c r="H75" i="2"/>
  <c r="H110" i="2"/>
  <c r="H165" i="2"/>
  <c r="H93" i="2"/>
  <c r="H27" i="2"/>
  <c r="H266" i="2"/>
  <c r="H145" i="2"/>
  <c r="H201" i="2"/>
  <c r="H77" i="2"/>
  <c r="H108" i="2"/>
  <c r="H112" i="2"/>
  <c r="H196" i="2"/>
  <c r="H290" i="2"/>
  <c r="H233" i="2"/>
  <c r="H287" i="2"/>
  <c r="H221" i="2"/>
  <c r="H203" i="2"/>
  <c r="H206" i="2"/>
  <c r="H184" i="2"/>
  <c r="H104" i="2"/>
  <c r="H218" i="2"/>
  <c r="H298" i="2"/>
  <c r="H183" i="2"/>
  <c r="H259" i="2"/>
  <c r="H178" i="2"/>
  <c r="H85" i="2"/>
  <c r="H37" i="2"/>
  <c r="H62" i="2"/>
  <c r="H158" i="2"/>
  <c r="H200" i="2"/>
  <c r="H19" i="2"/>
  <c r="H291" i="2"/>
  <c r="H98" i="2"/>
  <c r="H89" i="2"/>
  <c r="H317" i="2"/>
  <c r="H71" i="2"/>
  <c r="H307" i="2"/>
  <c r="H30" i="2"/>
  <c r="H47" i="2"/>
  <c r="H82" i="2"/>
  <c r="H269" i="2"/>
  <c r="H16" i="2"/>
  <c r="H9" i="2"/>
  <c r="H179" i="2"/>
  <c r="H12" i="2"/>
  <c r="H105" i="2"/>
  <c r="H114" i="2"/>
  <c r="H283" i="2"/>
  <c r="H288" i="2"/>
  <c r="H192" i="2"/>
  <c r="H236" i="2"/>
  <c r="H197" i="2"/>
  <c r="H96" i="2"/>
  <c r="H244" i="2"/>
  <c r="H124" i="2"/>
  <c r="H170" i="2"/>
  <c r="H129" i="2"/>
  <c r="H118" i="2"/>
  <c r="H57" i="2"/>
  <c r="H207" i="2"/>
  <c r="H140" i="2"/>
  <c r="H51" i="2"/>
  <c r="H198" i="2"/>
  <c r="H31" i="2"/>
  <c r="H279" i="2"/>
  <c r="H49" i="2"/>
  <c r="H217" i="2"/>
  <c r="H296" i="2"/>
  <c r="H316" i="2"/>
  <c r="H240" i="2"/>
  <c r="H216" i="2"/>
  <c r="H15" i="2"/>
  <c r="H99" i="2"/>
  <c r="H106" i="2"/>
  <c r="H161" i="2"/>
  <c r="H209" i="2"/>
  <c r="H215" i="2"/>
  <c r="H153" i="2"/>
  <c r="H134" i="2"/>
  <c r="H190" i="2"/>
  <c r="H160" i="2"/>
  <c r="H56" i="2"/>
  <c r="H102" i="2"/>
  <c r="H194" i="2"/>
  <c r="H121" i="2"/>
  <c r="H142" i="2"/>
  <c r="H220" i="2"/>
  <c r="H127" i="2"/>
  <c r="H305" i="2"/>
  <c r="H237" i="2"/>
  <c r="H55" i="2"/>
  <c r="H313" i="2"/>
  <c r="H226" i="2"/>
  <c r="H156" i="2"/>
  <c r="H281" i="2"/>
  <c r="H191" i="2"/>
  <c r="H169" i="2"/>
  <c r="H303" i="2"/>
  <c r="H227" i="2"/>
  <c r="H90" i="2"/>
  <c r="H231" i="2"/>
  <c r="H214" i="2"/>
  <c r="H246" i="2"/>
  <c r="H8" i="2"/>
  <c r="H251" i="2"/>
  <c r="H100" i="2"/>
  <c r="H10" i="2"/>
  <c r="H189" i="2"/>
  <c r="H260" i="2"/>
  <c r="H116" i="2"/>
  <c r="H310" i="2"/>
  <c r="H28" i="2"/>
  <c r="H277" i="2"/>
  <c r="H202" i="2"/>
  <c r="H151" i="2"/>
  <c r="H54" i="2"/>
  <c r="H86" i="2"/>
  <c r="H238" i="2"/>
  <c r="H166" i="2"/>
  <c r="H186" i="2"/>
  <c r="H195" i="2"/>
  <c r="H213" i="2"/>
  <c r="H172" i="2"/>
  <c r="H247" i="2"/>
  <c r="H80" i="2"/>
  <c r="H321" i="2"/>
  <c r="H144" i="2"/>
  <c r="H69" i="2"/>
  <c r="H199" i="2"/>
  <c r="H176" i="2"/>
  <c r="H239" i="2"/>
  <c r="H143" i="2"/>
  <c r="H308" i="2"/>
  <c r="H87" i="2"/>
  <c r="H20" i="2"/>
  <c r="H79" i="2"/>
  <c r="H125" i="2"/>
  <c r="H117" i="2"/>
  <c r="H278" i="2"/>
  <c r="H276" i="2"/>
  <c r="H13" i="2"/>
  <c r="H289" i="2"/>
  <c r="H46" i="2"/>
  <c r="H115" i="2"/>
  <c r="H61" i="2"/>
  <c r="H122" i="2"/>
  <c r="H228" i="2"/>
  <c r="H250" i="2"/>
  <c r="H70" i="2"/>
  <c r="H243" i="2"/>
  <c r="H252" i="2"/>
  <c r="H38" i="2"/>
  <c r="H211" i="2"/>
  <c r="H159" i="2"/>
  <c r="H72" i="2"/>
  <c r="H58" i="2"/>
  <c r="G26" i="2"/>
  <c r="G17" i="2"/>
  <c r="G7" i="2"/>
  <c r="G32" i="2"/>
  <c r="G84" i="2"/>
  <c r="G193" i="2"/>
  <c r="G299" i="2"/>
  <c r="G292" i="2"/>
  <c r="G81" i="2"/>
  <c r="G52" i="2"/>
  <c r="G273" i="2"/>
  <c r="G282" i="2"/>
  <c r="G50" i="2"/>
  <c r="G148" i="2"/>
  <c r="G262" i="2"/>
  <c r="G141" i="2"/>
  <c r="G111" i="2"/>
  <c r="G133" i="2"/>
  <c r="G163" i="2"/>
  <c r="G14" i="2"/>
  <c r="G173" i="2"/>
  <c r="G254" i="2"/>
  <c r="G212" i="2"/>
  <c r="G83" i="2"/>
  <c r="G5" i="2"/>
  <c r="G120" i="2"/>
  <c r="G174" i="2"/>
  <c r="G22" i="2"/>
  <c r="G188" i="2"/>
  <c r="G123" i="2"/>
  <c r="G24" i="2"/>
  <c r="G6" i="2"/>
  <c r="G44" i="2"/>
  <c r="G177" i="2"/>
  <c r="G91" i="2"/>
  <c r="G272" i="2"/>
  <c r="G42" i="2"/>
  <c r="G107" i="2"/>
  <c r="G135" i="2"/>
  <c r="G139" i="2"/>
  <c r="G175" i="2"/>
  <c r="G294" i="2"/>
  <c r="G164" i="2"/>
  <c r="G4" i="2"/>
  <c r="G64" i="2"/>
  <c r="G267" i="2"/>
  <c r="G230" i="2"/>
  <c r="G60" i="2"/>
  <c r="G180" i="2"/>
  <c r="G204" i="2"/>
  <c r="G249" i="2"/>
  <c r="G11" i="2"/>
  <c r="G261" i="2"/>
  <c r="G275" i="2"/>
  <c r="G59" i="2"/>
  <c r="G95" i="2"/>
  <c r="G67" i="2"/>
  <c r="G21" i="2"/>
  <c r="G18" i="2"/>
  <c r="G300" i="2"/>
  <c r="G285" i="2"/>
  <c r="G119" i="2"/>
  <c r="G280" i="2"/>
  <c r="G94" i="2"/>
  <c r="G101" i="2"/>
  <c r="G2" i="2"/>
  <c r="G185" i="2"/>
  <c r="G297" i="2"/>
  <c r="G66" i="2"/>
  <c r="G154" i="2"/>
  <c r="G248" i="2"/>
  <c r="G205" i="2"/>
  <c r="G34" i="2"/>
  <c r="G314" i="2"/>
  <c r="G65" i="2"/>
  <c r="G128" i="2"/>
  <c r="G265" i="2"/>
  <c r="G284" i="2"/>
  <c r="G76" i="2"/>
  <c r="G88" i="2"/>
  <c r="G286" i="2"/>
  <c r="G311" i="2"/>
  <c r="G210" i="2"/>
  <c r="G225" i="2"/>
  <c r="G73" i="2"/>
  <c r="G157" i="2"/>
  <c r="G150" i="2"/>
  <c r="G263" i="2"/>
  <c r="G3" i="2"/>
  <c r="G235" i="2"/>
  <c r="G245" i="2"/>
  <c r="G167" i="2"/>
  <c r="G301" i="2"/>
  <c r="G309" i="2"/>
  <c r="G149" i="2"/>
  <c r="G126" i="2"/>
  <c r="G302" i="2"/>
  <c r="G130" i="2"/>
  <c r="G222" i="2"/>
  <c r="G255" i="2"/>
  <c r="G45" i="2"/>
  <c r="G229" i="2"/>
  <c r="G315" i="2"/>
  <c r="G257" i="2"/>
  <c r="G146" i="2"/>
  <c r="G304" i="2"/>
  <c r="G155" i="2"/>
  <c r="G234" i="2"/>
  <c r="G147" i="2"/>
  <c r="G78" i="2"/>
  <c r="G319" i="2"/>
  <c r="G256" i="2"/>
  <c r="G258" i="2"/>
  <c r="G33" i="2"/>
  <c r="G53" i="2"/>
  <c r="G208" i="2"/>
  <c r="G320" i="2"/>
  <c r="G36" i="2"/>
  <c r="G187" i="2"/>
  <c r="G40" i="2"/>
  <c r="G253" i="2"/>
  <c r="G63" i="2"/>
  <c r="G25" i="2"/>
  <c r="G318" i="2"/>
  <c r="G131" i="2"/>
  <c r="G295" i="2"/>
  <c r="G168" i="2"/>
  <c r="G223" i="2"/>
  <c r="G132" i="2"/>
  <c r="G23" i="2"/>
  <c r="G109" i="2"/>
  <c r="G39" i="2"/>
  <c r="G35" i="2"/>
  <c r="G138" i="2"/>
  <c r="G103" i="2"/>
  <c r="G29" i="2"/>
  <c r="G268" i="2"/>
  <c r="G306" i="2"/>
  <c r="G241" i="2"/>
  <c r="G270" i="2"/>
  <c r="G232" i="2"/>
  <c r="G274" i="2"/>
  <c r="G224" i="2"/>
  <c r="G68" i="2"/>
  <c r="G92" i="2"/>
  <c r="G162" i="2"/>
  <c r="G182" i="2"/>
  <c r="G74" i="2"/>
  <c r="G171" i="2"/>
  <c r="G242" i="2"/>
  <c r="G219" i="2"/>
  <c r="G97" i="2"/>
  <c r="G181" i="2"/>
  <c r="G43" i="2"/>
  <c r="G137" i="2"/>
  <c r="G113" i="2"/>
  <c r="G48" i="2"/>
  <c r="G293" i="2"/>
  <c r="G271" i="2"/>
  <c r="G41" i="2"/>
  <c r="G312" i="2"/>
  <c r="G136" i="2"/>
  <c r="G152" i="2"/>
  <c r="G264" i="2"/>
  <c r="G75" i="2"/>
  <c r="G110" i="2"/>
  <c r="G165" i="2"/>
  <c r="G93" i="2"/>
  <c r="G27" i="2"/>
  <c r="G266" i="2"/>
  <c r="G145" i="2"/>
  <c r="G201" i="2"/>
  <c r="G77" i="2"/>
  <c r="G108" i="2"/>
  <c r="G112" i="2"/>
  <c r="G196" i="2"/>
  <c r="G290" i="2"/>
  <c r="G233" i="2"/>
  <c r="G287" i="2"/>
  <c r="G221" i="2"/>
  <c r="G203" i="2"/>
  <c r="G206" i="2"/>
  <c r="G184" i="2"/>
  <c r="G104" i="2"/>
  <c r="G218" i="2"/>
  <c r="G298" i="2"/>
  <c r="G183" i="2"/>
  <c r="G259" i="2"/>
  <c r="G178" i="2"/>
  <c r="G85" i="2"/>
  <c r="G37" i="2"/>
  <c r="G62" i="2"/>
  <c r="G158" i="2"/>
  <c r="G200" i="2"/>
  <c r="G19" i="2"/>
  <c r="G291" i="2"/>
  <c r="G98" i="2"/>
  <c r="G89" i="2"/>
  <c r="G317" i="2"/>
  <c r="G71" i="2"/>
  <c r="G307" i="2"/>
  <c r="G30" i="2"/>
  <c r="G47" i="2"/>
  <c r="G82" i="2"/>
  <c r="G269" i="2"/>
  <c r="G16" i="2"/>
  <c r="G9" i="2"/>
  <c r="G179" i="2"/>
  <c r="G12" i="2"/>
  <c r="G105" i="2"/>
  <c r="G114" i="2"/>
  <c r="G283" i="2"/>
  <c r="G288" i="2"/>
  <c r="G192" i="2"/>
  <c r="G236" i="2"/>
  <c r="G197" i="2"/>
  <c r="G96" i="2"/>
  <c r="G244" i="2"/>
  <c r="G124" i="2"/>
  <c r="G170" i="2"/>
  <c r="G129" i="2"/>
  <c r="G118" i="2"/>
  <c r="G57" i="2"/>
  <c r="G207" i="2"/>
  <c r="G140" i="2"/>
  <c r="G51" i="2"/>
  <c r="G198" i="2"/>
  <c r="G31" i="2"/>
  <c r="G279" i="2"/>
  <c r="G49" i="2"/>
  <c r="G217" i="2"/>
  <c r="G296" i="2"/>
  <c r="G316" i="2"/>
  <c r="G240" i="2"/>
  <c r="G216" i="2"/>
  <c r="G15" i="2"/>
  <c r="G99" i="2"/>
  <c r="G106" i="2"/>
  <c r="G161" i="2"/>
  <c r="G209" i="2"/>
  <c r="G215" i="2"/>
  <c r="G153" i="2"/>
  <c r="G134" i="2"/>
  <c r="G190" i="2"/>
  <c r="G160" i="2"/>
  <c r="G56" i="2"/>
  <c r="G102" i="2"/>
  <c r="G194" i="2"/>
  <c r="G121" i="2"/>
  <c r="G142" i="2"/>
  <c r="G220" i="2"/>
  <c r="G127" i="2"/>
  <c r="G305" i="2"/>
  <c r="G237" i="2"/>
  <c r="G55" i="2"/>
  <c r="G313" i="2"/>
  <c r="G226" i="2"/>
  <c r="G156" i="2"/>
  <c r="G281" i="2"/>
  <c r="G191" i="2"/>
  <c r="G169" i="2"/>
  <c r="G303" i="2"/>
  <c r="G227" i="2"/>
  <c r="G90" i="2"/>
  <c r="G231" i="2"/>
  <c r="G214" i="2"/>
  <c r="G246" i="2"/>
  <c r="G8" i="2"/>
  <c r="G251" i="2"/>
  <c r="G100" i="2"/>
  <c r="G10" i="2"/>
  <c r="G189" i="2"/>
  <c r="G260" i="2"/>
  <c r="G116" i="2"/>
  <c r="G310" i="2"/>
  <c r="G28" i="2"/>
  <c r="G277" i="2"/>
  <c r="G202" i="2"/>
  <c r="G151" i="2"/>
  <c r="G54" i="2"/>
  <c r="G86" i="2"/>
  <c r="G238" i="2"/>
  <c r="G166" i="2"/>
  <c r="G186" i="2"/>
  <c r="G195" i="2"/>
  <c r="G213" i="2"/>
  <c r="G172" i="2"/>
  <c r="G247" i="2"/>
  <c r="G80" i="2"/>
  <c r="G321" i="2"/>
  <c r="G144" i="2"/>
  <c r="G69" i="2"/>
  <c r="G199" i="2"/>
  <c r="G176" i="2"/>
  <c r="G239" i="2"/>
  <c r="G143" i="2"/>
  <c r="G308" i="2"/>
  <c r="G87" i="2"/>
  <c r="G20" i="2"/>
  <c r="G79" i="2"/>
  <c r="G125" i="2"/>
  <c r="G117" i="2"/>
  <c r="G278" i="2"/>
  <c r="G276" i="2"/>
  <c r="G13" i="2"/>
  <c r="G289" i="2"/>
  <c r="G46" i="2"/>
  <c r="G115" i="2"/>
  <c r="G61" i="2"/>
  <c r="G122" i="2"/>
  <c r="G228" i="2"/>
  <c r="G250" i="2"/>
  <c r="G70" i="2"/>
  <c r="G243" i="2"/>
  <c r="G252" i="2"/>
  <c r="G38" i="2"/>
  <c r="G211" i="2"/>
  <c r="G159" i="2"/>
  <c r="G72" i="2"/>
  <c r="G58" i="2"/>
  <c r="E58" i="2"/>
  <c r="E26" i="2"/>
  <c r="E17" i="2"/>
  <c r="E7" i="2"/>
  <c r="E32" i="2"/>
  <c r="E84" i="2"/>
  <c r="E193" i="2"/>
  <c r="E299" i="2"/>
  <c r="E292" i="2"/>
  <c r="E81" i="2"/>
  <c r="E52" i="2"/>
  <c r="E273" i="2"/>
  <c r="E282" i="2"/>
  <c r="E50" i="2"/>
  <c r="E148" i="2"/>
  <c r="E262" i="2"/>
  <c r="E141" i="2"/>
  <c r="E111" i="2"/>
  <c r="E133" i="2"/>
  <c r="E163" i="2"/>
  <c r="E14" i="2"/>
  <c r="E173" i="2"/>
  <c r="E254" i="2"/>
  <c r="E212" i="2"/>
  <c r="E83" i="2"/>
  <c r="E5" i="2"/>
  <c r="E120" i="2"/>
  <c r="E174" i="2"/>
  <c r="E22" i="2"/>
  <c r="E188" i="2"/>
  <c r="E123" i="2"/>
  <c r="E24" i="2"/>
  <c r="E6" i="2"/>
  <c r="E44" i="2"/>
  <c r="E177" i="2"/>
  <c r="E91" i="2"/>
  <c r="E272" i="2"/>
  <c r="E42" i="2"/>
  <c r="E107" i="2"/>
  <c r="E135" i="2"/>
  <c r="E139" i="2"/>
  <c r="E175" i="2"/>
  <c r="E294" i="2"/>
  <c r="E164" i="2"/>
  <c r="E4" i="2"/>
  <c r="E64" i="2"/>
  <c r="E267" i="2"/>
  <c r="E230" i="2"/>
  <c r="E60" i="2"/>
  <c r="E180" i="2"/>
  <c r="E204" i="2"/>
  <c r="E249" i="2"/>
  <c r="E11" i="2"/>
  <c r="E261" i="2"/>
  <c r="E275" i="2"/>
  <c r="E59" i="2"/>
  <c r="E95" i="2"/>
  <c r="E67" i="2"/>
  <c r="E21" i="2"/>
  <c r="E18" i="2"/>
  <c r="E300" i="2"/>
  <c r="E285" i="2"/>
  <c r="E119" i="2"/>
  <c r="E280" i="2"/>
  <c r="E94" i="2"/>
  <c r="E101" i="2"/>
  <c r="E2" i="2"/>
  <c r="E185" i="2"/>
  <c r="E297" i="2"/>
  <c r="E66" i="2"/>
  <c r="E154" i="2"/>
  <c r="E248" i="2"/>
  <c r="E205" i="2"/>
  <c r="E34" i="2"/>
  <c r="E314" i="2"/>
  <c r="E65" i="2"/>
  <c r="E128" i="2"/>
  <c r="E265" i="2"/>
  <c r="E284" i="2"/>
  <c r="E76" i="2"/>
  <c r="E88" i="2"/>
  <c r="E286" i="2"/>
  <c r="E311" i="2"/>
  <c r="E210" i="2"/>
  <c r="E225" i="2"/>
  <c r="E73" i="2"/>
  <c r="E157" i="2"/>
  <c r="E150" i="2"/>
  <c r="E263" i="2"/>
  <c r="E3" i="2"/>
  <c r="E235" i="2"/>
  <c r="E245" i="2"/>
  <c r="E167" i="2"/>
  <c r="E301" i="2"/>
  <c r="E309" i="2"/>
  <c r="E149" i="2"/>
  <c r="E126" i="2"/>
  <c r="E302" i="2"/>
  <c r="E130" i="2"/>
  <c r="E222" i="2"/>
  <c r="E255" i="2"/>
  <c r="E45" i="2"/>
  <c r="E229" i="2"/>
  <c r="E315" i="2"/>
  <c r="E257" i="2"/>
  <c r="E146" i="2"/>
  <c r="E304" i="2"/>
  <c r="E155" i="2"/>
  <c r="E234" i="2"/>
  <c r="E147" i="2"/>
  <c r="E78" i="2"/>
  <c r="E319" i="2"/>
  <c r="E256" i="2"/>
  <c r="E258" i="2"/>
  <c r="E33" i="2"/>
  <c r="E53" i="2"/>
  <c r="E208" i="2"/>
  <c r="E320" i="2"/>
  <c r="E36" i="2"/>
  <c r="E187" i="2"/>
  <c r="E40" i="2"/>
  <c r="E253" i="2"/>
  <c r="E63" i="2"/>
  <c r="E25" i="2"/>
  <c r="E318" i="2"/>
  <c r="E131" i="2"/>
  <c r="E295" i="2"/>
  <c r="E168" i="2"/>
  <c r="E223" i="2"/>
  <c r="E132" i="2"/>
  <c r="E23" i="2"/>
  <c r="E109" i="2"/>
  <c r="E39" i="2"/>
  <c r="E35" i="2"/>
  <c r="E138" i="2"/>
  <c r="E103" i="2"/>
  <c r="E29" i="2"/>
  <c r="E268" i="2"/>
  <c r="E306" i="2"/>
  <c r="E241" i="2"/>
  <c r="E270" i="2"/>
  <c r="E232" i="2"/>
  <c r="E274" i="2"/>
  <c r="E224" i="2"/>
  <c r="E68" i="2"/>
  <c r="E92" i="2"/>
  <c r="E162" i="2"/>
  <c r="E182" i="2"/>
  <c r="E74" i="2"/>
  <c r="E171" i="2"/>
  <c r="E242" i="2"/>
  <c r="E219" i="2"/>
  <c r="E97" i="2"/>
  <c r="E181" i="2"/>
  <c r="E43" i="2"/>
  <c r="E137" i="2"/>
  <c r="E113" i="2"/>
  <c r="E48" i="2"/>
  <c r="E293" i="2"/>
  <c r="E271" i="2"/>
  <c r="E41" i="2"/>
  <c r="E312" i="2"/>
  <c r="E136" i="2"/>
  <c r="E152" i="2"/>
  <c r="E264" i="2"/>
  <c r="E75" i="2"/>
  <c r="E110" i="2"/>
  <c r="E165" i="2"/>
  <c r="E93" i="2"/>
  <c r="E27" i="2"/>
  <c r="E266" i="2"/>
  <c r="E145" i="2"/>
  <c r="E201" i="2"/>
  <c r="E77" i="2"/>
  <c r="E108" i="2"/>
  <c r="E112" i="2"/>
  <c r="E196" i="2"/>
  <c r="E290" i="2"/>
  <c r="E233" i="2"/>
  <c r="E287" i="2"/>
  <c r="E221" i="2"/>
  <c r="E203" i="2"/>
  <c r="E206" i="2"/>
  <c r="E184" i="2"/>
  <c r="E104" i="2"/>
  <c r="E218" i="2"/>
  <c r="E298" i="2"/>
  <c r="E183" i="2"/>
  <c r="E259" i="2"/>
  <c r="E178" i="2"/>
  <c r="E85" i="2"/>
  <c r="E37" i="2"/>
  <c r="E62" i="2"/>
  <c r="E158" i="2"/>
  <c r="E200" i="2"/>
  <c r="E19" i="2"/>
  <c r="E291" i="2"/>
  <c r="E98" i="2"/>
  <c r="E89" i="2"/>
  <c r="E317" i="2"/>
  <c r="E71" i="2"/>
  <c r="E307" i="2"/>
  <c r="E30" i="2"/>
  <c r="E47" i="2"/>
  <c r="E82" i="2"/>
  <c r="E269" i="2"/>
  <c r="E16" i="2"/>
  <c r="E9" i="2"/>
  <c r="E179" i="2"/>
  <c r="E12" i="2"/>
  <c r="E105" i="2"/>
  <c r="E114" i="2"/>
  <c r="E283" i="2"/>
  <c r="E288" i="2"/>
  <c r="E192" i="2"/>
  <c r="E236" i="2"/>
  <c r="E197" i="2"/>
  <c r="E96" i="2"/>
  <c r="E244" i="2"/>
  <c r="E124" i="2"/>
  <c r="E170" i="2"/>
  <c r="E129" i="2"/>
  <c r="E118" i="2"/>
  <c r="E57" i="2"/>
  <c r="E207" i="2"/>
  <c r="E140" i="2"/>
  <c r="E51" i="2"/>
  <c r="E198" i="2"/>
  <c r="E31" i="2"/>
  <c r="E279" i="2"/>
  <c r="E49" i="2"/>
  <c r="E217" i="2"/>
  <c r="E296" i="2"/>
  <c r="E316" i="2"/>
  <c r="E240" i="2"/>
  <c r="E216" i="2"/>
  <c r="E15" i="2"/>
  <c r="E99" i="2"/>
  <c r="E106" i="2"/>
  <c r="E161" i="2"/>
  <c r="E209" i="2"/>
  <c r="E215" i="2"/>
  <c r="E153" i="2"/>
  <c r="E134" i="2"/>
  <c r="E190" i="2"/>
  <c r="E160" i="2"/>
  <c r="E56" i="2"/>
  <c r="E102" i="2"/>
  <c r="E194" i="2"/>
  <c r="E121" i="2"/>
  <c r="E142" i="2"/>
  <c r="E220" i="2"/>
  <c r="E127" i="2"/>
  <c r="E305" i="2"/>
  <c r="E237" i="2"/>
  <c r="E55" i="2"/>
  <c r="E313" i="2"/>
  <c r="E226" i="2"/>
  <c r="E156" i="2"/>
  <c r="E281" i="2"/>
  <c r="E191" i="2"/>
  <c r="E169" i="2"/>
  <c r="E303" i="2"/>
  <c r="E227" i="2"/>
  <c r="E90" i="2"/>
  <c r="E231" i="2"/>
  <c r="E214" i="2"/>
  <c r="E246" i="2"/>
  <c r="E8" i="2"/>
  <c r="E251" i="2"/>
  <c r="E100" i="2"/>
  <c r="E10" i="2"/>
  <c r="E189" i="2"/>
  <c r="E260" i="2"/>
  <c r="E116" i="2"/>
  <c r="E310" i="2"/>
  <c r="E28" i="2"/>
  <c r="E277" i="2"/>
  <c r="E202" i="2"/>
  <c r="E151" i="2"/>
  <c r="E54" i="2"/>
  <c r="E86" i="2"/>
  <c r="E238" i="2"/>
  <c r="E166" i="2"/>
  <c r="E186" i="2"/>
  <c r="E195" i="2"/>
  <c r="E213" i="2"/>
  <c r="E172" i="2"/>
  <c r="E247" i="2"/>
  <c r="E80" i="2"/>
  <c r="E321" i="2"/>
  <c r="E144" i="2"/>
  <c r="E69" i="2"/>
  <c r="E199" i="2"/>
  <c r="E176" i="2"/>
  <c r="E239" i="2"/>
  <c r="E143" i="2"/>
  <c r="E308" i="2"/>
  <c r="E87" i="2"/>
  <c r="E20" i="2"/>
  <c r="E79" i="2"/>
  <c r="E125" i="2"/>
  <c r="E117" i="2"/>
  <c r="E278" i="2"/>
  <c r="E276" i="2"/>
  <c r="E13" i="2"/>
  <c r="E289" i="2"/>
  <c r="E46" i="2"/>
  <c r="E115" i="2"/>
  <c r="E61" i="2"/>
  <c r="E122" i="2"/>
  <c r="E228" i="2"/>
  <c r="E250" i="2"/>
  <c r="E70" i="2"/>
  <c r="E243" i="2"/>
  <c r="E252" i="2"/>
  <c r="E38" i="2"/>
  <c r="E211" i="2"/>
  <c r="E159" i="2"/>
  <c r="E72" i="2"/>
  <c r="D26" i="2"/>
  <c r="D17" i="2"/>
  <c r="D7" i="2"/>
  <c r="D32" i="2"/>
  <c r="D84" i="2"/>
  <c r="D193" i="2"/>
  <c r="D299" i="2"/>
  <c r="D292" i="2"/>
  <c r="D81" i="2"/>
  <c r="D52" i="2"/>
  <c r="D273" i="2"/>
  <c r="D282" i="2"/>
  <c r="D50" i="2"/>
  <c r="D148" i="2"/>
  <c r="D262" i="2"/>
  <c r="D141" i="2"/>
  <c r="D111" i="2"/>
  <c r="D133" i="2"/>
  <c r="D163" i="2"/>
  <c r="D14" i="2"/>
  <c r="D173" i="2"/>
  <c r="D254" i="2"/>
  <c r="D212" i="2"/>
  <c r="D83" i="2"/>
  <c r="D5" i="2"/>
  <c r="D120" i="2"/>
  <c r="D174" i="2"/>
  <c r="D22" i="2"/>
  <c r="D188" i="2"/>
  <c r="D123" i="2"/>
  <c r="D24" i="2"/>
  <c r="D6" i="2"/>
  <c r="D44" i="2"/>
  <c r="D177" i="2"/>
  <c r="D91" i="2"/>
  <c r="D272" i="2"/>
  <c r="D42" i="2"/>
  <c r="D107" i="2"/>
  <c r="D135" i="2"/>
  <c r="D139" i="2"/>
  <c r="D175" i="2"/>
  <c r="D294" i="2"/>
  <c r="D164" i="2"/>
  <c r="D4" i="2"/>
  <c r="D64" i="2"/>
  <c r="D267" i="2"/>
  <c r="D230" i="2"/>
  <c r="D60" i="2"/>
  <c r="D180" i="2"/>
  <c r="D204" i="2"/>
  <c r="D249" i="2"/>
  <c r="D11" i="2"/>
  <c r="D261" i="2"/>
  <c r="D275" i="2"/>
  <c r="D59" i="2"/>
  <c r="D95" i="2"/>
  <c r="D67" i="2"/>
  <c r="D21" i="2"/>
  <c r="D18" i="2"/>
  <c r="D300" i="2"/>
  <c r="D285" i="2"/>
  <c r="D119" i="2"/>
  <c r="D280" i="2"/>
  <c r="D94" i="2"/>
  <c r="D101" i="2"/>
  <c r="D2" i="2"/>
  <c r="D185" i="2"/>
  <c r="D297" i="2"/>
  <c r="D66" i="2"/>
  <c r="D154" i="2"/>
  <c r="D248" i="2"/>
  <c r="D205" i="2"/>
  <c r="D34" i="2"/>
  <c r="D314" i="2"/>
  <c r="D65" i="2"/>
  <c r="D128" i="2"/>
  <c r="D265" i="2"/>
  <c r="D284" i="2"/>
  <c r="D76" i="2"/>
  <c r="D88" i="2"/>
  <c r="D286" i="2"/>
  <c r="D311" i="2"/>
  <c r="D210" i="2"/>
  <c r="D225" i="2"/>
  <c r="D73" i="2"/>
  <c r="D157" i="2"/>
  <c r="D150" i="2"/>
  <c r="D263" i="2"/>
  <c r="D3" i="2"/>
  <c r="D235" i="2"/>
  <c r="D245" i="2"/>
  <c r="D167" i="2"/>
  <c r="D301" i="2"/>
  <c r="D309" i="2"/>
  <c r="D149" i="2"/>
  <c r="D126" i="2"/>
  <c r="D302" i="2"/>
  <c r="D130" i="2"/>
  <c r="D222" i="2"/>
  <c r="D255" i="2"/>
  <c r="D45" i="2"/>
  <c r="D229" i="2"/>
  <c r="D315" i="2"/>
  <c r="D257" i="2"/>
  <c r="D146" i="2"/>
  <c r="D304" i="2"/>
  <c r="D155" i="2"/>
  <c r="D234" i="2"/>
  <c r="D147" i="2"/>
  <c r="D78" i="2"/>
  <c r="D319" i="2"/>
  <c r="D256" i="2"/>
  <c r="D258" i="2"/>
  <c r="D33" i="2"/>
  <c r="D53" i="2"/>
  <c r="D208" i="2"/>
  <c r="D320" i="2"/>
  <c r="D36" i="2"/>
  <c r="D187" i="2"/>
  <c r="D40" i="2"/>
  <c r="D253" i="2"/>
  <c r="D63" i="2"/>
  <c r="D25" i="2"/>
  <c r="D318" i="2"/>
  <c r="D131" i="2"/>
  <c r="D295" i="2"/>
  <c r="D168" i="2"/>
  <c r="D223" i="2"/>
  <c r="D132" i="2"/>
  <c r="D23" i="2"/>
  <c r="D109" i="2"/>
  <c r="D39" i="2"/>
  <c r="D35" i="2"/>
  <c r="D138" i="2"/>
  <c r="D103" i="2"/>
  <c r="D29" i="2"/>
  <c r="D268" i="2"/>
  <c r="D306" i="2"/>
  <c r="D241" i="2"/>
  <c r="D270" i="2"/>
  <c r="D232" i="2"/>
  <c r="D274" i="2"/>
  <c r="D224" i="2"/>
  <c r="D68" i="2"/>
  <c r="D92" i="2"/>
  <c r="D162" i="2"/>
  <c r="D182" i="2"/>
  <c r="D74" i="2"/>
  <c r="D171" i="2"/>
  <c r="D242" i="2"/>
  <c r="D219" i="2"/>
  <c r="D97" i="2"/>
  <c r="D181" i="2"/>
  <c r="D43" i="2"/>
  <c r="D137" i="2"/>
  <c r="D113" i="2"/>
  <c r="D48" i="2"/>
  <c r="D293" i="2"/>
  <c r="D271" i="2"/>
  <c r="D41" i="2"/>
  <c r="D312" i="2"/>
  <c r="D136" i="2"/>
  <c r="D152" i="2"/>
  <c r="D264" i="2"/>
  <c r="D75" i="2"/>
  <c r="D110" i="2"/>
  <c r="D165" i="2"/>
  <c r="D93" i="2"/>
  <c r="D27" i="2"/>
  <c r="D266" i="2"/>
  <c r="D145" i="2"/>
  <c r="D201" i="2"/>
  <c r="D77" i="2"/>
  <c r="D108" i="2"/>
  <c r="D112" i="2"/>
  <c r="D196" i="2"/>
  <c r="D290" i="2"/>
  <c r="D233" i="2"/>
  <c r="D287" i="2"/>
  <c r="D221" i="2"/>
  <c r="D203" i="2"/>
  <c r="D206" i="2"/>
  <c r="D184" i="2"/>
  <c r="D104" i="2"/>
  <c r="D218" i="2"/>
  <c r="D298" i="2"/>
  <c r="D183" i="2"/>
  <c r="D259" i="2"/>
  <c r="D178" i="2"/>
  <c r="D85" i="2"/>
  <c r="D37" i="2"/>
  <c r="D62" i="2"/>
  <c r="D158" i="2"/>
  <c r="D200" i="2"/>
  <c r="D19" i="2"/>
  <c r="D291" i="2"/>
  <c r="D98" i="2"/>
  <c r="D89" i="2"/>
  <c r="D317" i="2"/>
  <c r="D71" i="2"/>
  <c r="D307" i="2"/>
  <c r="D30" i="2"/>
  <c r="D47" i="2"/>
  <c r="D82" i="2"/>
  <c r="D269" i="2"/>
  <c r="D16" i="2"/>
  <c r="D9" i="2"/>
  <c r="D179" i="2"/>
  <c r="D12" i="2"/>
  <c r="D105" i="2"/>
  <c r="D114" i="2"/>
  <c r="D283" i="2"/>
  <c r="D288" i="2"/>
  <c r="D192" i="2"/>
  <c r="D236" i="2"/>
  <c r="D197" i="2"/>
  <c r="D96" i="2"/>
  <c r="D244" i="2"/>
  <c r="D124" i="2"/>
  <c r="D170" i="2"/>
  <c r="D129" i="2"/>
  <c r="D118" i="2"/>
  <c r="D57" i="2"/>
  <c r="D207" i="2"/>
  <c r="D140" i="2"/>
  <c r="D51" i="2"/>
  <c r="D198" i="2"/>
  <c r="D31" i="2"/>
  <c r="D279" i="2"/>
  <c r="D49" i="2"/>
  <c r="D217" i="2"/>
  <c r="D296" i="2"/>
  <c r="D316" i="2"/>
  <c r="D240" i="2"/>
  <c r="D216" i="2"/>
  <c r="D15" i="2"/>
  <c r="D99" i="2"/>
  <c r="D106" i="2"/>
  <c r="D161" i="2"/>
  <c r="D209" i="2"/>
  <c r="D215" i="2"/>
  <c r="D153" i="2"/>
  <c r="D134" i="2"/>
  <c r="D190" i="2"/>
  <c r="D160" i="2"/>
  <c r="D56" i="2"/>
  <c r="D102" i="2"/>
  <c r="D194" i="2"/>
  <c r="D121" i="2"/>
  <c r="D142" i="2"/>
  <c r="D220" i="2"/>
  <c r="D127" i="2"/>
  <c r="D305" i="2"/>
  <c r="D237" i="2"/>
  <c r="D55" i="2"/>
  <c r="D313" i="2"/>
  <c r="D226" i="2"/>
  <c r="D156" i="2"/>
  <c r="D281" i="2"/>
  <c r="D191" i="2"/>
  <c r="D169" i="2"/>
  <c r="D303" i="2"/>
  <c r="D227" i="2"/>
  <c r="D90" i="2"/>
  <c r="D231" i="2"/>
  <c r="D214" i="2"/>
  <c r="D246" i="2"/>
  <c r="D8" i="2"/>
  <c r="D251" i="2"/>
  <c r="D100" i="2"/>
  <c r="D10" i="2"/>
  <c r="D189" i="2"/>
  <c r="D260" i="2"/>
  <c r="D116" i="2"/>
  <c r="D310" i="2"/>
  <c r="D28" i="2"/>
  <c r="D277" i="2"/>
  <c r="D202" i="2"/>
  <c r="D151" i="2"/>
  <c r="D54" i="2"/>
  <c r="D86" i="2"/>
  <c r="D238" i="2"/>
  <c r="D166" i="2"/>
  <c r="D186" i="2"/>
  <c r="D195" i="2"/>
  <c r="D213" i="2"/>
  <c r="D172" i="2"/>
  <c r="D247" i="2"/>
  <c r="D80" i="2"/>
  <c r="D321" i="2"/>
  <c r="D144" i="2"/>
  <c r="D69" i="2"/>
  <c r="D199" i="2"/>
  <c r="D176" i="2"/>
  <c r="D239" i="2"/>
  <c r="D143" i="2"/>
  <c r="D308" i="2"/>
  <c r="D87" i="2"/>
  <c r="D20" i="2"/>
  <c r="D79" i="2"/>
  <c r="D125" i="2"/>
  <c r="D117" i="2"/>
  <c r="D278" i="2"/>
  <c r="D276" i="2"/>
  <c r="D13" i="2"/>
  <c r="D289" i="2"/>
  <c r="D46" i="2"/>
  <c r="D115" i="2"/>
  <c r="D61" i="2"/>
  <c r="D122" i="2"/>
  <c r="D228" i="2"/>
  <c r="D250" i="2"/>
  <c r="D70" i="2"/>
  <c r="D243" i="2"/>
  <c r="D252" i="2"/>
  <c r="D38" i="2"/>
  <c r="D211" i="2"/>
  <c r="D159" i="2"/>
  <c r="D72" i="2"/>
  <c r="D58" i="2"/>
  <c r="C26" i="2"/>
  <c r="C17" i="2"/>
  <c r="C7" i="2"/>
  <c r="C32" i="2"/>
  <c r="C84" i="2"/>
  <c r="C193" i="2"/>
  <c r="C299" i="2"/>
  <c r="C292" i="2"/>
  <c r="C81" i="2"/>
  <c r="C52" i="2"/>
  <c r="C273" i="2"/>
  <c r="C282" i="2"/>
  <c r="C50" i="2"/>
  <c r="C148" i="2"/>
  <c r="C262" i="2"/>
  <c r="C141" i="2"/>
  <c r="C111" i="2"/>
  <c r="C133" i="2"/>
  <c r="C163" i="2"/>
  <c r="C14" i="2"/>
  <c r="C173" i="2"/>
  <c r="C254" i="2"/>
  <c r="C212" i="2"/>
  <c r="C83" i="2"/>
  <c r="C5" i="2"/>
  <c r="C120" i="2"/>
  <c r="C174" i="2"/>
  <c r="C22" i="2"/>
  <c r="C188" i="2"/>
  <c r="C123" i="2"/>
  <c r="C24" i="2"/>
  <c r="C6" i="2"/>
  <c r="C44" i="2"/>
  <c r="C177" i="2"/>
  <c r="C91" i="2"/>
  <c r="C272" i="2"/>
  <c r="C42" i="2"/>
  <c r="C107" i="2"/>
  <c r="C135" i="2"/>
  <c r="C139" i="2"/>
  <c r="C175" i="2"/>
  <c r="C294" i="2"/>
  <c r="C164" i="2"/>
  <c r="C4" i="2"/>
  <c r="C64" i="2"/>
  <c r="C267" i="2"/>
  <c r="C230" i="2"/>
  <c r="C60" i="2"/>
  <c r="C180" i="2"/>
  <c r="C204" i="2"/>
  <c r="C249" i="2"/>
  <c r="C11" i="2"/>
  <c r="C261" i="2"/>
  <c r="C275" i="2"/>
  <c r="C59" i="2"/>
  <c r="C95" i="2"/>
  <c r="C67" i="2"/>
  <c r="C21" i="2"/>
  <c r="C18" i="2"/>
  <c r="C300" i="2"/>
  <c r="C285" i="2"/>
  <c r="C119" i="2"/>
  <c r="C280" i="2"/>
  <c r="C94" i="2"/>
  <c r="C101" i="2"/>
  <c r="C2" i="2"/>
  <c r="C185" i="2"/>
  <c r="C297" i="2"/>
  <c r="C66" i="2"/>
  <c r="C154" i="2"/>
  <c r="C248" i="2"/>
  <c r="C205" i="2"/>
  <c r="C34" i="2"/>
  <c r="C314" i="2"/>
  <c r="C65" i="2"/>
  <c r="C128" i="2"/>
  <c r="C265" i="2"/>
  <c r="C284" i="2"/>
  <c r="C76" i="2"/>
  <c r="C88" i="2"/>
  <c r="C286" i="2"/>
  <c r="C311" i="2"/>
  <c r="C210" i="2"/>
  <c r="C225" i="2"/>
  <c r="C73" i="2"/>
  <c r="C157" i="2"/>
  <c r="C150" i="2"/>
  <c r="C263" i="2"/>
  <c r="C3" i="2"/>
  <c r="C235" i="2"/>
  <c r="C245" i="2"/>
  <c r="C167" i="2"/>
  <c r="C301" i="2"/>
  <c r="C309" i="2"/>
  <c r="C149" i="2"/>
  <c r="C126" i="2"/>
  <c r="C302" i="2"/>
  <c r="C130" i="2"/>
  <c r="C222" i="2"/>
  <c r="C255" i="2"/>
  <c r="C45" i="2"/>
  <c r="C229" i="2"/>
  <c r="C315" i="2"/>
  <c r="C257" i="2"/>
  <c r="C146" i="2"/>
  <c r="C304" i="2"/>
  <c r="C155" i="2"/>
  <c r="C234" i="2"/>
  <c r="C147" i="2"/>
  <c r="C78" i="2"/>
  <c r="C319" i="2"/>
  <c r="C256" i="2"/>
  <c r="C258" i="2"/>
  <c r="C33" i="2"/>
  <c r="C53" i="2"/>
  <c r="C208" i="2"/>
  <c r="C320" i="2"/>
  <c r="C36" i="2"/>
  <c r="C187" i="2"/>
  <c r="C40" i="2"/>
  <c r="C253" i="2"/>
  <c r="C63" i="2"/>
  <c r="C25" i="2"/>
  <c r="C318" i="2"/>
  <c r="C131" i="2"/>
  <c r="C295" i="2"/>
  <c r="C168" i="2"/>
  <c r="C223" i="2"/>
  <c r="C132" i="2"/>
  <c r="C23" i="2"/>
  <c r="C109" i="2"/>
  <c r="C39" i="2"/>
  <c r="C35" i="2"/>
  <c r="C138" i="2"/>
  <c r="C103" i="2"/>
  <c r="C29" i="2"/>
  <c r="C268" i="2"/>
  <c r="C306" i="2"/>
  <c r="C241" i="2"/>
  <c r="C270" i="2"/>
  <c r="C232" i="2"/>
  <c r="C274" i="2"/>
  <c r="C224" i="2"/>
  <c r="C68" i="2"/>
  <c r="C92" i="2"/>
  <c r="C162" i="2"/>
  <c r="C182" i="2"/>
  <c r="C74" i="2"/>
  <c r="C171" i="2"/>
  <c r="C242" i="2"/>
  <c r="C219" i="2"/>
  <c r="C97" i="2"/>
  <c r="C181" i="2"/>
  <c r="C43" i="2"/>
  <c r="C137" i="2"/>
  <c r="C113" i="2"/>
  <c r="C48" i="2"/>
  <c r="C293" i="2"/>
  <c r="C271" i="2"/>
  <c r="C41" i="2"/>
  <c r="C312" i="2"/>
  <c r="C136" i="2"/>
  <c r="C152" i="2"/>
  <c r="C264" i="2"/>
  <c r="C75" i="2"/>
  <c r="C110" i="2"/>
  <c r="C165" i="2"/>
  <c r="C93" i="2"/>
  <c r="C27" i="2"/>
  <c r="C266" i="2"/>
  <c r="C145" i="2"/>
  <c r="C201" i="2"/>
  <c r="C77" i="2"/>
  <c r="C108" i="2"/>
  <c r="C112" i="2"/>
  <c r="C196" i="2"/>
  <c r="C290" i="2"/>
  <c r="C233" i="2"/>
  <c r="C287" i="2"/>
  <c r="C221" i="2"/>
  <c r="C203" i="2"/>
  <c r="C206" i="2"/>
  <c r="C184" i="2"/>
  <c r="C104" i="2"/>
  <c r="C218" i="2"/>
  <c r="C298" i="2"/>
  <c r="C183" i="2"/>
  <c r="C259" i="2"/>
  <c r="C178" i="2"/>
  <c r="C85" i="2"/>
  <c r="C37" i="2"/>
  <c r="C62" i="2"/>
  <c r="C158" i="2"/>
  <c r="C200" i="2"/>
  <c r="C19" i="2"/>
  <c r="C291" i="2"/>
  <c r="C98" i="2"/>
  <c r="C89" i="2"/>
  <c r="C317" i="2"/>
  <c r="C71" i="2"/>
  <c r="C307" i="2"/>
  <c r="C30" i="2"/>
  <c r="C47" i="2"/>
  <c r="C82" i="2"/>
  <c r="C269" i="2"/>
  <c r="C16" i="2"/>
  <c r="C9" i="2"/>
  <c r="C179" i="2"/>
  <c r="C12" i="2"/>
  <c r="C105" i="2"/>
  <c r="C114" i="2"/>
  <c r="C283" i="2"/>
  <c r="C288" i="2"/>
  <c r="C192" i="2"/>
  <c r="C236" i="2"/>
  <c r="C197" i="2"/>
  <c r="C96" i="2"/>
  <c r="C244" i="2"/>
  <c r="C124" i="2"/>
  <c r="C170" i="2"/>
  <c r="C129" i="2"/>
  <c r="C118" i="2"/>
  <c r="C57" i="2"/>
  <c r="C207" i="2"/>
  <c r="C140" i="2"/>
  <c r="C51" i="2"/>
  <c r="C198" i="2"/>
  <c r="C31" i="2"/>
  <c r="C279" i="2"/>
  <c r="C49" i="2"/>
  <c r="C217" i="2"/>
  <c r="C296" i="2"/>
  <c r="C316" i="2"/>
  <c r="C240" i="2"/>
  <c r="C216" i="2"/>
  <c r="C15" i="2"/>
  <c r="C99" i="2"/>
  <c r="C106" i="2"/>
  <c r="C161" i="2"/>
  <c r="C209" i="2"/>
  <c r="C215" i="2"/>
  <c r="C153" i="2"/>
  <c r="C134" i="2"/>
  <c r="C190" i="2"/>
  <c r="C160" i="2"/>
  <c r="C56" i="2"/>
  <c r="C102" i="2"/>
  <c r="C194" i="2"/>
  <c r="C121" i="2"/>
  <c r="C142" i="2"/>
  <c r="C220" i="2"/>
  <c r="C127" i="2"/>
  <c r="C305" i="2"/>
  <c r="C237" i="2"/>
  <c r="C55" i="2"/>
  <c r="C313" i="2"/>
  <c r="C226" i="2"/>
  <c r="C156" i="2"/>
  <c r="C281" i="2"/>
  <c r="C191" i="2"/>
  <c r="C169" i="2"/>
  <c r="C303" i="2"/>
  <c r="C227" i="2"/>
  <c r="C90" i="2"/>
  <c r="C231" i="2"/>
  <c r="C214" i="2"/>
  <c r="C246" i="2"/>
  <c r="C8" i="2"/>
  <c r="C251" i="2"/>
  <c r="C100" i="2"/>
  <c r="C10" i="2"/>
  <c r="C189" i="2"/>
  <c r="C260" i="2"/>
  <c r="C116" i="2"/>
  <c r="C310" i="2"/>
  <c r="C28" i="2"/>
  <c r="C277" i="2"/>
  <c r="C202" i="2"/>
  <c r="C151" i="2"/>
  <c r="C54" i="2"/>
  <c r="C86" i="2"/>
  <c r="C238" i="2"/>
  <c r="C166" i="2"/>
  <c r="C186" i="2"/>
  <c r="C195" i="2"/>
  <c r="C213" i="2"/>
  <c r="C172" i="2"/>
  <c r="C247" i="2"/>
  <c r="C80" i="2"/>
  <c r="C321" i="2"/>
  <c r="C144" i="2"/>
  <c r="C69" i="2"/>
  <c r="C199" i="2"/>
  <c r="C176" i="2"/>
  <c r="C239" i="2"/>
  <c r="C143" i="2"/>
  <c r="C308" i="2"/>
  <c r="C87" i="2"/>
  <c r="C20" i="2"/>
  <c r="C79" i="2"/>
  <c r="C125" i="2"/>
  <c r="C117" i="2"/>
  <c r="C278" i="2"/>
  <c r="C276" i="2"/>
  <c r="C13" i="2"/>
  <c r="C289" i="2"/>
  <c r="C46" i="2"/>
  <c r="C115" i="2"/>
  <c r="C61" i="2"/>
  <c r="C122" i="2"/>
  <c r="C228" i="2"/>
  <c r="C250" i="2"/>
  <c r="C70" i="2"/>
  <c r="C243" i="2"/>
  <c r="C252" i="2"/>
  <c r="C38" i="2"/>
  <c r="C211" i="2"/>
  <c r="C159" i="2"/>
  <c r="C72" i="2"/>
  <c r="C58" i="2"/>
</calcChain>
</file>

<file path=xl/sharedStrings.xml><?xml version="1.0" encoding="utf-8"?>
<sst xmlns="http://schemas.openxmlformats.org/spreadsheetml/2006/main" count="4356" uniqueCount="165">
  <si>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</si>
  <si>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</si>
  <si>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</si>
  <si>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</si>
  <si>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</si>
  <si>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</si>
  <si>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</si>
  <si>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</si>
  <si>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</si>
  <si>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</si>
  <si>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</si>
  <si>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</si>
  <si>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</si>
  <si>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</si>
  <si>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</si>
  <si>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</si>
  <si>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</si>
  <si>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</si>
  <si>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</si>
  <si>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</si>
  <si>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</si>
  <si>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</si>
  <si>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</si>
  <si>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</si>
  <si>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</si>
  <si>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</si>
  <si>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</si>
  <si>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</si>
  <si>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</si>
  <si>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</si>
  <si>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</si>
  <si>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</si>
  <si>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</si>
  <si>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</si>
  <si>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</si>
  <si>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</si>
  <si>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</si>
  <si>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</si>
  <si>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</si>
  <si>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</si>
  <si>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</si>
  <si>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</si>
  <si>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</si>
  <si>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</si>
  <si>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</si>
  <si>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</si>
  <si>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</si>
  <si>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</si>
  <si>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</si>
  <si>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</si>
  <si>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</si>
  <si>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</si>
  <si>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</si>
  <si>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</si>
  <si>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</si>
  <si>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</si>
  <si>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</si>
  <si>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</si>
  <si>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</si>
  <si>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</si>
  <si>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</si>
  <si>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</si>
  <si>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</si>
  <si>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</si>
  <si>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</si>
  <si>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</si>
  <si>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</si>
  <si>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</si>
  <si>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</si>
  <si>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</si>
  <si>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</si>
  <si>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</si>
  <si>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</si>
  <si>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</si>
  <si>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</si>
  <si>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</si>
  <si>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</si>
  <si>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</si>
  <si>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</si>
  <si>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</si>
  <si>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</si>
  <si>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</si>
  <si>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</si>
  <si>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</si>
  <si>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</si>
  <si>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</si>
  <si>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</si>
  <si>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</si>
  <si>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</si>
  <si>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</si>
  <si>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</si>
  <si>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</si>
  <si>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</si>
  <si>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</si>
  <si>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</si>
  <si>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</si>
  <si>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</si>
  <si>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</si>
  <si>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</si>
  <si>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</si>
  <si>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</si>
  <si>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</si>
  <si>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region_dummy_(East)</t>
  </si>
  <si>
    <t>region_dummy_(West)</t>
  </si>
  <si>
    <t>region_dummy_(North)</t>
  </si>
  <si>
    <t>HighStreet_dummy</t>
  </si>
  <si>
    <t>Mall_dummy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</si>
  <si>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</si>
  <si>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</si>
  <si>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</si>
  <si>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</si>
  <si>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</si>
  <si>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</si>
  <si>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</si>
  <si>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</si>
  <si>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</si>
  <si>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</si>
  <si>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</si>
  <si>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</si>
  <si>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</si>
  <si>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</si>
  <si>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</si>
  <si>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</si>
  <si>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</si>
  <si>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</si>
  <si>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</si>
  <si>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</si>
  <si>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</si>
  <si>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</si>
  <si>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</si>
  <si>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</si>
  <si>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</si>
  <si>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</si>
  <si>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</si>
  <si>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</si>
  <si>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Simple linear Regression Monthly sales vs Marketing spend</t>
  </si>
  <si>
    <t>Simple Linear Regression monthly sales vs footfall</t>
  </si>
  <si>
    <t>Residential_dummy</t>
  </si>
  <si>
    <t>Multiple Regression</t>
  </si>
  <si>
    <t>Model</t>
  </si>
  <si>
    <t>Type</t>
  </si>
  <si>
    <t>R-Squared</t>
  </si>
  <si>
    <t>Business Usefulness</t>
  </si>
  <si>
    <t>Limitations</t>
  </si>
  <si>
    <t>Model 1</t>
  </si>
  <si>
    <t>Simple Regression</t>
  </si>
  <si>
    <t>monthly_sales ~ footfall</t>
  </si>
  <si>
    <t>Model 2</t>
  </si>
  <si>
    <t>monthly_sales ~ marketing_spend</t>
  </si>
  <si>
    <t>monthly_sales ~ footfall + marketing_spend + inventory_availability_pct + Residential_dummy + HighStreet_dummy + Mall_dummy</t>
  </si>
  <si>
    <t>Independent Variables</t>
  </si>
  <si>
    <t>Significant Variables (p&lt;0.05)</t>
  </si>
  <si>
    <t>Strong single predictor. Footfall alone explains 73.6% of sales variation. Very useful for quick store performance estimate.</t>
  </si>
  <si>
    <t>Ignores marketing, inventory, and store type. Cannot support multi-factor decisions.</t>
  </si>
  <si>
    <t>Weak standalone model. Only 16.7% variance explained. Marketing has a positive effect but insufficient alone for decision-making.</t>
  </si>
  <si>
    <t>Very low R². ROI is only £2.13 per £1 spent. Many other factors not captured.</t>
  </si>
  <si>
    <t>BEST MODEL. 82% variance explained. Covers traffic, marketing, inventory &amp; store type together. Recommended for business decisions.</t>
  </si>
  <si>
    <t>Mall_dummy insignificant (p=0.251). Seasonal trends, online competition &amp; economic factors not captured.</t>
  </si>
  <si>
    <t xml:space="preserve">Model 3 </t>
  </si>
  <si>
    <t xml:space="preserve">REGRESSION MODEL COMPARISON </t>
  </si>
  <si>
    <t>Predicted_Sales</t>
  </si>
  <si>
    <t>Residual_pct</t>
  </si>
  <si>
    <t xml:space="preserve">marketing_spend (p = 2.48E-14) </t>
  </si>
  <si>
    <t xml:space="preserve">footfall (p = 4.75E-94) </t>
  </si>
  <si>
    <t>footfall , marketing_spend , inventory_availability_pct , Residential_dummy , HighStreet_dummy  | Mall_dummy  (p=0.251)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</si>
</sst>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9" formatCode="0.0000"/>
  </numFmts>
  <fonts count="12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rlito"/>
    </font>
    <font>
      <sz val="1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rgb="FFFFF2CC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33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 vertical="center" wrapText="1"/>
    </xf>
    <xf numFmtId="164" fontId="1" fillId="0" borderId="0" xfId="1" applyNumberFormat="1"/>
    <xf numFmtId="0" fontId="3" fillId="3" borderId="0" xfId="0" applyFont="1" applyFill="1"/>
    <xf numFmtId="0" fontId="3" fillId="4" borderId="0" xfId="0" applyFon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Continuous"/>
    </xf>
    <xf numFmtId="0" fontId="4" fillId="5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0" fillId="3" borderId="0" xfId="0" applyFill="1"/>
    <xf numFmtId="0" fontId="0" fillId="6" borderId="0" xfId="0" applyFill="1"/>
    <xf numFmtId="0" fontId="4" fillId="7" borderId="0" xfId="0" applyFont="1" applyFill="1" applyAlignment="1">
      <alignment horizontal="center"/>
    </xf>
    <xf numFmtId="0" fontId="3" fillId="8" borderId="0" xfId="0" applyFont="1" applyFill="1"/>
    <xf numFmtId="0" fontId="3" fillId="9" borderId="0" xfId="0" applyFont="1" applyFill="1"/>
    <xf numFmtId="0" fontId="7" fillId="8" borderId="0" xfId="1" applyFont="1" applyFill="1" applyAlignment="1">
      <alignment horizontal="center" vertical="center" wrapText="1"/>
    </xf>
    <xf numFmtId="0" fontId="3" fillId="10" borderId="0" xfId="0" applyFont="1" applyFill="1"/>
    <xf numFmtId="0" fontId="9" fillId="11" borderId="3" xfId="2" applyFont="1" applyFill="1" applyBorder="1" applyAlignment="1">
      <alignment horizontal="center" vertical="center" wrapText="1"/>
    </xf>
    <xf numFmtId="0" fontId="10" fillId="12" borderId="3" xfId="2" applyFont="1" applyFill="1" applyBorder="1" applyAlignment="1">
      <alignment horizontal="center" vertical="center" wrapText="1"/>
    </xf>
    <xf numFmtId="0" fontId="10" fillId="12" borderId="3" xfId="2" applyFont="1" applyFill="1" applyBorder="1" applyAlignment="1">
      <alignment horizontal="left" vertical="center" wrapText="1"/>
    </xf>
    <xf numFmtId="169" fontId="10" fillId="12" borderId="3" xfId="2" applyNumberFormat="1" applyFont="1" applyFill="1" applyBorder="1" applyAlignment="1">
      <alignment horizontal="center" vertical="center" wrapText="1"/>
    </xf>
    <xf numFmtId="0" fontId="10" fillId="13" borderId="3" xfId="2" applyFont="1" applyFill="1" applyBorder="1" applyAlignment="1">
      <alignment horizontal="center" vertical="center" wrapText="1"/>
    </xf>
    <xf numFmtId="0" fontId="10" fillId="13" borderId="3" xfId="2" applyFont="1" applyFill="1" applyBorder="1" applyAlignment="1">
      <alignment horizontal="left" vertical="center" wrapText="1"/>
    </xf>
    <xf numFmtId="169" fontId="10" fillId="13" borderId="3" xfId="2" applyNumberFormat="1" applyFont="1" applyFill="1" applyBorder="1" applyAlignment="1">
      <alignment horizontal="center" vertical="center" wrapText="1"/>
    </xf>
    <xf numFmtId="0" fontId="10" fillId="15" borderId="3" xfId="2" applyFont="1" applyFill="1" applyBorder="1" applyAlignment="1">
      <alignment horizontal="center" vertical="center" wrapText="1"/>
    </xf>
    <xf numFmtId="0" fontId="10" fillId="15" borderId="3" xfId="2" applyFont="1" applyFill="1" applyBorder="1" applyAlignment="1">
      <alignment horizontal="left" vertical="center" wrapText="1"/>
    </xf>
    <xf numFmtId="169" fontId="10" fillId="15" borderId="3" xfId="2" applyNumberFormat="1" applyFont="1" applyFill="1" applyBorder="1" applyAlignment="1">
      <alignment horizontal="center" vertical="center" wrapText="1"/>
    </xf>
    <xf numFmtId="0" fontId="11" fillId="14" borderId="0" xfId="0" applyFont="1" applyFill="1" applyAlignment="1">
      <alignment horizontal="center"/>
    </xf>
    <xf numFmtId="0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3">
    <cellStyle name="Normal" xfId="0" builtinId="0"/>
    <cellStyle name="Normal 2" xfId="1" xr:uid="{2799B514-869F-4C2F-B938-472C150680BB}"/>
    <cellStyle name="Normal 3" xfId="2" xr:uid="{564DEB01-32DB-4EA8-A5DE-AAC6CDDB56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50D1-ABEE-4394-AE4A-9D820CCBE60B}">
  <dimension ref="A1:N321"/>
  <sheetViews>
    <sheetView workbookViewId="0">
      <selection activeCell="A321" sqref="A321"/>
    </sheetView>
  </sheetViews>
  <sheetFormatPr defaultColWidth="13.77734375" defaultRowHeight="14.4"/>
  <sheetData>
    <row r="1" spans="1:14" ht="55.2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</row>
    <row r="2" spans="1:14">
      <c r="A2" t="s">
        <v>14</v>
      </c>
      <c r="B2" s="3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3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3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3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3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3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3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3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3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3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3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3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3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3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3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3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3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3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3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3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3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3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3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3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3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3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3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3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3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3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3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3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3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3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3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3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3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3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3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3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3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3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3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3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3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3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3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3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3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3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3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3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3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3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3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3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3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3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3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3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3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3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3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3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3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3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3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3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3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3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3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3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3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3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3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3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3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3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3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3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3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3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3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3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3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3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3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3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3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3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3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3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3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3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3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3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3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3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3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3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3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3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3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3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3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3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3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3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3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3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3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3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3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3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3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3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3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3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3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3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3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3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3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3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3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3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3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3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3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3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3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3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3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3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3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3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3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3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3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3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3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3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3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3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3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3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3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3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3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3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3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3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3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3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3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3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3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3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3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3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3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3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3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3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3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3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3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3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3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3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3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3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3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3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3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3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3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3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3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3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3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3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3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3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3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3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3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3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3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3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3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3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3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3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3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3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3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3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3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3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3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3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3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3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3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3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3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3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3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3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3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3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3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3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3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3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3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3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3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3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3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3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3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3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3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3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3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3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3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3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3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3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3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3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3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3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3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3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3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3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3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3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3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3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3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3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3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3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3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3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3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3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3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3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3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3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3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3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3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3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3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3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3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3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3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3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3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3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3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3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3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3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3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3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3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3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3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3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3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3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3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3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3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3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3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3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3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3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3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3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3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3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3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3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3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3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3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3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3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3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3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3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3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3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3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3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3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3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3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3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3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3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3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3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3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3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3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3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3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3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0542-BCD4-469B-9CFF-310371869A51}">
  <dimension ref="A1:N323"/>
  <sheetViews>
    <sheetView zoomScale="90" workbookViewId="0">
      <selection activeCell="E1" sqref="E1"/>
    </sheetView>
  </sheetViews>
  <sheetFormatPr defaultColWidth="13.5546875" defaultRowHeight="14.4"/>
  <sheetData>
    <row r="1" spans="1:14" ht="41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3">
        <v>45658</v>
      </c>
      <c r="C2" s="1" t="s">
        <v>15</v>
      </c>
      <c r="D2" s="1" t="s">
        <v>16</v>
      </c>
      <c r="E2" s="1">
        <v>70389.11</v>
      </c>
      <c r="F2" s="1">
        <v>8302</v>
      </c>
      <c r="G2" s="1">
        <v>4.2000000000000003E-2</v>
      </c>
      <c r="H2" s="1">
        <v>17</v>
      </c>
      <c r="I2" s="1">
        <v>75</v>
      </c>
      <c r="J2" s="1">
        <v>5.28</v>
      </c>
      <c r="K2" s="1">
        <v>1</v>
      </c>
      <c r="L2" s="1">
        <v>3.1</v>
      </c>
      <c r="M2" s="1">
        <v>658832.62</v>
      </c>
      <c r="N2" s="1">
        <v>84349.93</v>
      </c>
    </row>
    <row r="3" spans="1:14">
      <c r="A3" s="1" t="s">
        <v>14</v>
      </c>
      <c r="B3" s="3">
        <v>45689</v>
      </c>
      <c r="C3" s="1" t="s">
        <v>15</v>
      </c>
      <c r="D3" s="1" t="s">
        <v>16</v>
      </c>
      <c r="E3" s="1">
        <v>43827.89</v>
      </c>
      <c r="F3" s="1">
        <v>8487</v>
      </c>
      <c r="G3" s="1">
        <v>0.16800000000000001</v>
      </c>
      <c r="H3" s="1">
        <v>23</v>
      </c>
      <c r="I3" s="1">
        <v>84.4</v>
      </c>
      <c r="J3" s="1">
        <v>4.3099999999999996</v>
      </c>
      <c r="K3" s="1">
        <v>0</v>
      </c>
      <c r="L3" s="1">
        <v>2.8</v>
      </c>
      <c r="M3" s="1">
        <v>634436</v>
      </c>
      <c r="N3" s="1">
        <v>106130.54</v>
      </c>
    </row>
    <row r="4" spans="1:14">
      <c r="A4" s="1" t="s">
        <v>14</v>
      </c>
      <c r="B4" s="3">
        <v>45717</v>
      </c>
      <c r="C4" s="1" t="s">
        <v>15</v>
      </c>
      <c r="D4" s="1" t="s">
        <v>16</v>
      </c>
      <c r="E4" s="1">
        <v>59921.75</v>
      </c>
      <c r="F4" s="1">
        <v>9113</v>
      </c>
      <c r="G4" s="1">
        <v>0.13300000000000001</v>
      </c>
      <c r="H4" s="1">
        <v>20</v>
      </c>
      <c r="I4" s="1">
        <v>88</v>
      </c>
      <c r="J4" s="1">
        <v>12</v>
      </c>
      <c r="K4" s="1">
        <v>0</v>
      </c>
      <c r="L4" s="1">
        <v>3.2</v>
      </c>
      <c r="M4" s="1">
        <v>678722.06</v>
      </c>
      <c r="N4" s="1">
        <v>101883.86</v>
      </c>
    </row>
    <row r="5" spans="1:14">
      <c r="A5" s="1" t="s">
        <v>14</v>
      </c>
      <c r="B5" s="3">
        <v>45748</v>
      </c>
      <c r="C5" s="1" t="s">
        <v>15</v>
      </c>
      <c r="D5" s="1" t="s">
        <v>16</v>
      </c>
      <c r="E5" s="1">
        <v>56856.63</v>
      </c>
      <c r="F5" s="1">
        <v>9431</v>
      </c>
      <c r="G5" s="1">
        <v>0.14199999999999999</v>
      </c>
      <c r="H5" s="1">
        <v>23</v>
      </c>
      <c r="I5" s="1">
        <v>86.9</v>
      </c>
      <c r="J5" s="1">
        <v>4.97</v>
      </c>
      <c r="K5" s="1">
        <v>0</v>
      </c>
      <c r="L5" s="1">
        <v>3.4</v>
      </c>
      <c r="M5" s="1">
        <v>658920.30000000005</v>
      </c>
      <c r="N5" s="1">
        <v>97910.37</v>
      </c>
    </row>
    <row r="6" spans="1:14">
      <c r="A6" s="1" t="s">
        <v>17</v>
      </c>
      <c r="B6" s="3">
        <v>45658</v>
      </c>
      <c r="C6" s="1" t="s">
        <v>15</v>
      </c>
      <c r="D6" s="1" t="s">
        <v>18</v>
      </c>
      <c r="E6" s="1">
        <v>48412.639999999999</v>
      </c>
      <c r="F6" s="1">
        <v>9545</v>
      </c>
      <c r="G6" s="1">
        <v>0.23100000000000001</v>
      </c>
      <c r="H6" s="1">
        <v>21</v>
      </c>
      <c r="I6" s="1">
        <v>97.6</v>
      </c>
      <c r="J6" s="1">
        <v>6.94</v>
      </c>
      <c r="K6" s="1">
        <v>1</v>
      </c>
      <c r="L6" s="1">
        <v>4.2</v>
      </c>
      <c r="M6" s="1">
        <v>741341.44</v>
      </c>
      <c r="N6" s="1">
        <v>119208.17</v>
      </c>
    </row>
    <row r="7" spans="1:14">
      <c r="A7" s="1" t="s">
        <v>17</v>
      </c>
      <c r="B7" s="3">
        <v>45689</v>
      </c>
      <c r="C7" s="1" t="s">
        <v>15</v>
      </c>
      <c r="D7" s="1" t="s">
        <v>18</v>
      </c>
      <c r="E7" s="1">
        <v>64811.21</v>
      </c>
      <c r="F7" s="1">
        <v>9792</v>
      </c>
      <c r="G7" s="1">
        <v>0.112</v>
      </c>
      <c r="H7" s="1">
        <v>20</v>
      </c>
      <c r="I7" s="1">
        <v>84.2</v>
      </c>
      <c r="J7" s="1">
        <v>2.88</v>
      </c>
      <c r="K7" s="1">
        <v>0</v>
      </c>
      <c r="L7" s="1">
        <v>4.2</v>
      </c>
      <c r="M7" s="1">
        <v>761835.34</v>
      </c>
      <c r="N7" s="1">
        <v>149602.23000000001</v>
      </c>
    </row>
    <row r="8" spans="1:14">
      <c r="A8" s="1" t="s">
        <v>17</v>
      </c>
      <c r="B8" s="3">
        <v>45717</v>
      </c>
      <c r="C8" s="1" t="s">
        <v>15</v>
      </c>
      <c r="D8" s="1" t="s">
        <v>18</v>
      </c>
      <c r="E8" s="1">
        <v>46213.45</v>
      </c>
      <c r="F8" s="1">
        <v>10616</v>
      </c>
      <c r="G8" s="1">
        <v>0.122</v>
      </c>
      <c r="H8" s="1">
        <v>22</v>
      </c>
      <c r="I8" s="1">
        <v>85.2</v>
      </c>
      <c r="J8" s="1">
        <v>0.2</v>
      </c>
      <c r="K8" s="1">
        <v>1</v>
      </c>
      <c r="L8" s="1">
        <v>4.0999999999999996</v>
      </c>
      <c r="M8" s="1">
        <v>806615.54</v>
      </c>
      <c r="N8" s="1">
        <v>131364.62</v>
      </c>
    </row>
    <row r="9" spans="1:14">
      <c r="A9" s="1" t="s">
        <v>17</v>
      </c>
      <c r="B9" s="3">
        <v>45748</v>
      </c>
      <c r="C9" s="1" t="s">
        <v>15</v>
      </c>
      <c r="D9" s="1" t="s">
        <v>18</v>
      </c>
      <c r="E9" s="1">
        <v>68148.52</v>
      </c>
      <c r="F9" s="1">
        <v>8567</v>
      </c>
      <c r="G9" s="1">
        <v>0.127</v>
      </c>
      <c r="H9" s="1">
        <v>23</v>
      </c>
      <c r="I9" s="1">
        <v>95.6</v>
      </c>
      <c r="J9" s="1">
        <v>0.8</v>
      </c>
      <c r="K9" s="1">
        <v>0</v>
      </c>
      <c r="L9" s="1">
        <v>3.9</v>
      </c>
      <c r="M9" s="1">
        <v>850164.26</v>
      </c>
      <c r="N9" s="1">
        <v>149262.75</v>
      </c>
    </row>
    <row r="10" spans="1:14">
      <c r="A10" s="1" t="s">
        <v>19</v>
      </c>
      <c r="B10" s="3">
        <v>45658</v>
      </c>
      <c r="C10" s="1" t="s">
        <v>20</v>
      </c>
      <c r="D10" s="1" t="s">
        <v>21</v>
      </c>
      <c r="E10" s="1">
        <v>71838.86</v>
      </c>
      <c r="F10" s="1">
        <v>10979</v>
      </c>
      <c r="G10" s="1">
        <v>0.215</v>
      </c>
      <c r="H10" s="1">
        <v>26</v>
      </c>
      <c r="I10" s="1">
        <v>88.6</v>
      </c>
      <c r="J10" s="1">
        <v>7.7</v>
      </c>
      <c r="K10" s="1">
        <v>1</v>
      </c>
      <c r="L10" s="1">
        <v>3.8</v>
      </c>
      <c r="M10" s="1">
        <v>930581.7</v>
      </c>
      <c r="N10" s="1">
        <v>136207.98000000001</v>
      </c>
    </row>
    <row r="11" spans="1:14">
      <c r="A11" s="1" t="s">
        <v>19</v>
      </c>
      <c r="B11" s="3">
        <v>45689</v>
      </c>
      <c r="C11" s="1" t="s">
        <v>20</v>
      </c>
      <c r="D11" s="1" t="s">
        <v>21</v>
      </c>
      <c r="E11" s="1">
        <v>68133.440000000002</v>
      </c>
      <c r="F11" s="1">
        <v>9459</v>
      </c>
      <c r="G11" s="1">
        <v>0.22</v>
      </c>
      <c r="H11" s="1">
        <v>21</v>
      </c>
      <c r="I11" s="1">
        <v>85</v>
      </c>
      <c r="J11" s="1">
        <v>1.91</v>
      </c>
      <c r="K11" s="1">
        <v>0</v>
      </c>
      <c r="L11" s="1">
        <v>4.2</v>
      </c>
      <c r="M11" s="1">
        <v>779010.94</v>
      </c>
      <c r="N11" s="1">
        <v>106328.09</v>
      </c>
    </row>
    <row r="12" spans="1:14">
      <c r="A12" s="1" t="s">
        <v>19</v>
      </c>
      <c r="B12" s="3">
        <v>45717</v>
      </c>
      <c r="C12" s="1" t="s">
        <v>20</v>
      </c>
      <c r="D12" s="1" t="s">
        <v>21</v>
      </c>
      <c r="E12" s="1">
        <v>34285.21</v>
      </c>
      <c r="F12" s="1">
        <v>9172</v>
      </c>
      <c r="G12" s="1">
        <v>0.21299999999999999</v>
      </c>
      <c r="H12" s="1">
        <v>22</v>
      </c>
      <c r="I12" s="1">
        <v>88.3</v>
      </c>
      <c r="J12" s="1">
        <v>10.46</v>
      </c>
      <c r="K12" s="1">
        <v>1</v>
      </c>
      <c r="L12" s="1">
        <v>3.8</v>
      </c>
      <c r="M12" s="1">
        <v>723060.76</v>
      </c>
      <c r="N12" s="1">
        <v>123131.24</v>
      </c>
    </row>
    <row r="13" spans="1:14">
      <c r="A13" s="1" t="s">
        <v>19</v>
      </c>
      <c r="B13" s="3">
        <v>45748</v>
      </c>
      <c r="C13" s="1" t="s">
        <v>20</v>
      </c>
      <c r="D13" s="1" t="s">
        <v>21</v>
      </c>
      <c r="E13" s="1">
        <v>67979.88</v>
      </c>
      <c r="F13" s="1">
        <v>11230</v>
      </c>
      <c r="G13" s="1">
        <v>2E-3</v>
      </c>
      <c r="H13" s="1">
        <v>28</v>
      </c>
      <c r="I13" s="1">
        <v>85.3</v>
      </c>
      <c r="J13" s="1">
        <v>7.16</v>
      </c>
      <c r="K13" s="1">
        <v>0</v>
      </c>
      <c r="L13" s="1">
        <v>3.8</v>
      </c>
      <c r="M13" s="1">
        <v>910791.94</v>
      </c>
      <c r="N13" s="1">
        <v>158891.28</v>
      </c>
    </row>
    <row r="14" spans="1:14">
      <c r="A14" s="1" t="s">
        <v>22</v>
      </c>
      <c r="B14" s="3">
        <v>45658</v>
      </c>
      <c r="C14" s="1" t="s">
        <v>15</v>
      </c>
      <c r="D14" s="1" t="s">
        <v>16</v>
      </c>
      <c r="E14" s="1">
        <v>71828.259999999995</v>
      </c>
      <c r="F14" s="1">
        <v>12775</v>
      </c>
      <c r="G14" s="1">
        <v>0.11600000000000001</v>
      </c>
      <c r="H14" s="1">
        <v>30</v>
      </c>
      <c r="I14" s="1">
        <v>81.7</v>
      </c>
      <c r="J14" s="1">
        <v>4.24</v>
      </c>
      <c r="K14" s="1">
        <v>1</v>
      </c>
      <c r="L14" s="1">
        <v>4.2</v>
      </c>
      <c r="M14" s="1">
        <v>922168.6</v>
      </c>
      <c r="N14" s="1">
        <v>107494.53</v>
      </c>
    </row>
    <row r="15" spans="1:14">
      <c r="A15" s="1" t="s">
        <v>22</v>
      </c>
      <c r="B15" s="3">
        <v>45689</v>
      </c>
      <c r="C15" s="1" t="s">
        <v>15</v>
      </c>
      <c r="D15" s="1" t="s">
        <v>16</v>
      </c>
      <c r="E15" s="1">
        <v>55716.82</v>
      </c>
      <c r="F15" s="1">
        <v>10054</v>
      </c>
      <c r="G15" s="1">
        <v>0.14599999999999999</v>
      </c>
      <c r="H15" s="1">
        <v>24</v>
      </c>
      <c r="I15" s="1">
        <v>84.9</v>
      </c>
      <c r="J15" s="1">
        <v>1.06</v>
      </c>
      <c r="K15" s="1">
        <v>0</v>
      </c>
      <c r="L15" s="1">
        <v>4.3</v>
      </c>
      <c r="M15" s="1">
        <v>726606.28</v>
      </c>
      <c r="N15" s="1">
        <v>122729.29</v>
      </c>
    </row>
    <row r="16" spans="1:14">
      <c r="A16" s="1" t="s">
        <v>22</v>
      </c>
      <c r="B16" s="3">
        <v>45717</v>
      </c>
      <c r="C16" s="1" t="s">
        <v>15</v>
      </c>
      <c r="D16" s="1" t="s">
        <v>16</v>
      </c>
      <c r="E16" s="1">
        <v>59909.51</v>
      </c>
      <c r="F16" s="1">
        <v>8895</v>
      </c>
      <c r="G16" s="1">
        <v>0.22800000000000001</v>
      </c>
      <c r="H16" s="1">
        <v>23</v>
      </c>
      <c r="I16" s="1">
        <v>88.8</v>
      </c>
      <c r="J16" s="1">
        <v>0.27</v>
      </c>
      <c r="K16" s="1">
        <v>0</v>
      </c>
      <c r="L16" s="1">
        <v>4.3</v>
      </c>
      <c r="M16" s="1">
        <v>746501.09</v>
      </c>
      <c r="N16" s="1">
        <v>136816.72</v>
      </c>
    </row>
    <row r="17" spans="1:14">
      <c r="A17" s="1" t="s">
        <v>22</v>
      </c>
      <c r="B17" s="3">
        <v>45748</v>
      </c>
      <c r="C17" s="1" t="s">
        <v>15</v>
      </c>
      <c r="D17" s="1" t="s">
        <v>16</v>
      </c>
      <c r="E17" s="1">
        <v>75305.710000000006</v>
      </c>
      <c r="F17" s="1">
        <v>10940</v>
      </c>
      <c r="G17" s="1">
        <v>6.0000000000000001E-3</v>
      </c>
      <c r="H17" s="1">
        <v>26</v>
      </c>
      <c r="I17" s="1">
        <v>76.5</v>
      </c>
      <c r="J17" s="1">
        <v>1.32</v>
      </c>
      <c r="K17" s="1">
        <v>0</v>
      </c>
      <c r="L17" s="1">
        <v>4.5</v>
      </c>
      <c r="M17" s="1">
        <v>834017.02</v>
      </c>
      <c r="N17" s="1">
        <v>114745.03</v>
      </c>
    </row>
    <row r="18" spans="1:14">
      <c r="A18" s="1" t="s">
        <v>23</v>
      </c>
      <c r="B18" s="3">
        <v>45658</v>
      </c>
      <c r="C18" s="1" t="s">
        <v>24</v>
      </c>
      <c r="D18" s="1" t="s">
        <v>16</v>
      </c>
      <c r="E18" s="1">
        <v>48804.22</v>
      </c>
      <c r="F18" s="1">
        <v>7057</v>
      </c>
      <c r="G18" s="1">
        <v>5.0000000000000001E-3</v>
      </c>
      <c r="H18" s="1">
        <v>15</v>
      </c>
      <c r="I18" s="1">
        <v>87.7</v>
      </c>
      <c r="J18" s="1">
        <v>1.22</v>
      </c>
      <c r="K18" s="1">
        <v>0</v>
      </c>
      <c r="L18" s="1">
        <v>3.7</v>
      </c>
      <c r="M18" s="1">
        <v>666152.52</v>
      </c>
      <c r="N18" s="1">
        <v>107490.58</v>
      </c>
    </row>
    <row r="19" spans="1:14">
      <c r="A19" s="1" t="s">
        <v>23</v>
      </c>
      <c r="B19" s="3">
        <v>45689</v>
      </c>
      <c r="C19" s="1" t="s">
        <v>24</v>
      </c>
      <c r="D19" s="1" t="s">
        <v>16</v>
      </c>
      <c r="E19" s="1">
        <v>59117.9</v>
      </c>
      <c r="F19" s="1">
        <v>4263</v>
      </c>
      <c r="G19" s="1">
        <v>0.11899999999999999</v>
      </c>
      <c r="H19" s="1">
        <v>9</v>
      </c>
      <c r="I19" s="1">
        <v>87.6</v>
      </c>
      <c r="J19" s="1">
        <v>4.01</v>
      </c>
      <c r="K19" s="1">
        <v>0</v>
      </c>
      <c r="L19" s="1">
        <v>3.6</v>
      </c>
      <c r="M19" s="1">
        <v>573155.18999999994</v>
      </c>
      <c r="N19" s="1">
        <v>83680.75</v>
      </c>
    </row>
    <row r="20" spans="1:14">
      <c r="A20" s="1" t="s">
        <v>23</v>
      </c>
      <c r="B20" s="3">
        <v>45717</v>
      </c>
      <c r="C20" s="1" t="s">
        <v>24</v>
      </c>
      <c r="D20" s="1" t="s">
        <v>16</v>
      </c>
      <c r="E20" s="1">
        <v>78831.12</v>
      </c>
      <c r="F20" s="1">
        <v>5538</v>
      </c>
      <c r="G20" s="1">
        <v>0</v>
      </c>
      <c r="H20" s="1">
        <v>15</v>
      </c>
      <c r="I20" s="1">
        <v>94.1</v>
      </c>
      <c r="J20" s="1">
        <v>0.2</v>
      </c>
      <c r="K20" s="1">
        <v>0</v>
      </c>
      <c r="L20" s="1">
        <v>3.9</v>
      </c>
      <c r="M20" s="1">
        <v>666573.19999999995</v>
      </c>
      <c r="N20" s="1">
        <v>140641.01999999999</v>
      </c>
    </row>
    <row r="21" spans="1:14">
      <c r="A21" s="1" t="s">
        <v>23</v>
      </c>
      <c r="B21" s="3">
        <v>45748</v>
      </c>
      <c r="C21" s="1" t="s">
        <v>24</v>
      </c>
      <c r="D21" s="1" t="s">
        <v>16</v>
      </c>
      <c r="E21" s="1">
        <v>41441.93</v>
      </c>
      <c r="F21" s="1">
        <v>4865</v>
      </c>
      <c r="G21" s="1">
        <v>0.158</v>
      </c>
      <c r="H21" s="1">
        <v>16</v>
      </c>
      <c r="I21" s="1">
        <v>88.3</v>
      </c>
      <c r="J21" s="1">
        <v>0.5</v>
      </c>
      <c r="K21" s="1">
        <v>0</v>
      </c>
      <c r="L21" s="1">
        <v>4</v>
      </c>
      <c r="M21" s="1">
        <v>591619.94999999995</v>
      </c>
      <c r="N21" s="1">
        <v>99521.35</v>
      </c>
    </row>
    <row r="22" spans="1:14">
      <c r="A22" s="1" t="s">
        <v>25</v>
      </c>
      <c r="B22" s="3">
        <v>45658</v>
      </c>
      <c r="C22" s="1" t="s">
        <v>20</v>
      </c>
      <c r="D22" s="1" t="s">
        <v>16</v>
      </c>
      <c r="E22" s="1">
        <v>30356.28</v>
      </c>
      <c r="F22" s="1">
        <v>2822</v>
      </c>
      <c r="G22" s="1">
        <v>0.23100000000000001</v>
      </c>
      <c r="H22" s="1">
        <v>9</v>
      </c>
      <c r="I22" s="1">
        <v>84.8</v>
      </c>
      <c r="J22" s="1">
        <v>6.95</v>
      </c>
      <c r="K22" s="1">
        <v>0</v>
      </c>
      <c r="L22" s="1">
        <v>5</v>
      </c>
      <c r="M22" s="1">
        <v>415721.82</v>
      </c>
      <c r="N22" s="1">
        <v>61179.15</v>
      </c>
    </row>
    <row r="23" spans="1:14">
      <c r="A23" s="1" t="s">
        <v>25</v>
      </c>
      <c r="B23" s="3">
        <v>45689</v>
      </c>
      <c r="C23" s="1" t="s">
        <v>20</v>
      </c>
      <c r="D23" s="1" t="s">
        <v>16</v>
      </c>
      <c r="E23" s="1">
        <v>33518.879999999997</v>
      </c>
      <c r="F23" s="1">
        <v>2121</v>
      </c>
      <c r="G23" s="1">
        <v>0.17599999999999999</v>
      </c>
      <c r="H23" s="1">
        <v>8</v>
      </c>
      <c r="I23" s="1">
        <v>88.5</v>
      </c>
      <c r="J23" s="1">
        <v>0.2</v>
      </c>
      <c r="K23" s="1">
        <v>0</v>
      </c>
      <c r="L23" s="1">
        <v>5</v>
      </c>
      <c r="M23" s="1">
        <v>491905.13</v>
      </c>
      <c r="N23" s="1">
        <v>79212.259999999995</v>
      </c>
    </row>
    <row r="24" spans="1:14">
      <c r="A24" s="1" t="s">
        <v>25</v>
      </c>
      <c r="B24" s="3">
        <v>45717</v>
      </c>
      <c r="C24" s="1" t="s">
        <v>20</v>
      </c>
      <c r="D24" s="1" t="s">
        <v>16</v>
      </c>
      <c r="E24" s="1">
        <v>42267.37</v>
      </c>
      <c r="F24" s="1">
        <v>3364</v>
      </c>
      <c r="G24" s="1">
        <v>0.16</v>
      </c>
      <c r="H24" s="1">
        <v>13</v>
      </c>
      <c r="I24" s="1">
        <v>82</v>
      </c>
      <c r="J24" s="1">
        <v>1.61</v>
      </c>
      <c r="K24" s="1">
        <v>1</v>
      </c>
      <c r="L24" s="1">
        <v>4.5999999999999996</v>
      </c>
      <c r="M24" s="1">
        <v>555929.4</v>
      </c>
      <c r="N24" s="1">
        <v>115201.76</v>
      </c>
    </row>
    <row r="25" spans="1:14">
      <c r="A25" s="1" t="s">
        <v>25</v>
      </c>
      <c r="B25" s="3">
        <v>45748</v>
      </c>
      <c r="C25" s="1" t="s">
        <v>20</v>
      </c>
      <c r="D25" s="1" t="s">
        <v>16</v>
      </c>
      <c r="E25" s="1">
        <v>62060.43</v>
      </c>
      <c r="F25" s="1">
        <v>2613</v>
      </c>
      <c r="G25" s="1">
        <v>0.216</v>
      </c>
      <c r="H25" s="1">
        <v>12</v>
      </c>
      <c r="I25" s="1">
        <v>92.1</v>
      </c>
      <c r="J25" s="1">
        <v>1.55</v>
      </c>
      <c r="K25" s="1">
        <v>0</v>
      </c>
      <c r="L25" s="1">
        <v>4.7</v>
      </c>
      <c r="M25" s="1">
        <v>565810.99</v>
      </c>
      <c r="N25" s="1">
        <v>77825.460000000006</v>
      </c>
    </row>
    <row r="26" spans="1:14">
      <c r="A26" s="1" t="s">
        <v>26</v>
      </c>
      <c r="B26" s="3">
        <v>45658</v>
      </c>
      <c r="C26" s="1" t="s">
        <v>27</v>
      </c>
      <c r="D26" s="1" t="s">
        <v>28</v>
      </c>
      <c r="E26" s="1">
        <v>57696.69</v>
      </c>
      <c r="F26" s="1">
        <v>10218</v>
      </c>
      <c r="G26" s="1">
        <v>0.121</v>
      </c>
      <c r="H26" s="1">
        <v>25</v>
      </c>
      <c r="I26" s="1">
        <v>94.8</v>
      </c>
      <c r="J26" s="1">
        <v>2.99</v>
      </c>
      <c r="K26" s="1">
        <v>0</v>
      </c>
      <c r="L26" s="1">
        <v>3.5</v>
      </c>
      <c r="M26" s="1">
        <v>811771.14</v>
      </c>
      <c r="N26" s="1">
        <v>148756.24</v>
      </c>
    </row>
    <row r="27" spans="1:14">
      <c r="A27" s="1" t="s">
        <v>26</v>
      </c>
      <c r="B27" s="3">
        <v>45689</v>
      </c>
      <c r="C27" s="1" t="s">
        <v>27</v>
      </c>
      <c r="D27" s="1" t="s">
        <v>28</v>
      </c>
      <c r="E27" s="1">
        <v>172415.52</v>
      </c>
      <c r="F27" s="1">
        <v>8927</v>
      </c>
      <c r="G27" s="1">
        <v>0.14000000000000001</v>
      </c>
      <c r="H27" s="1">
        <v>22</v>
      </c>
      <c r="I27" s="1">
        <v>86.2</v>
      </c>
      <c r="J27" s="1">
        <v>7.04</v>
      </c>
      <c r="K27" s="1">
        <v>0</v>
      </c>
      <c r="L27" s="1">
        <v>3.9</v>
      </c>
      <c r="M27" s="1">
        <v>800451.94</v>
      </c>
      <c r="N27" s="1">
        <v>111572.29</v>
      </c>
    </row>
    <row r="28" spans="1:14">
      <c r="A28" s="1" t="s">
        <v>26</v>
      </c>
      <c r="B28" s="3">
        <v>45717</v>
      </c>
      <c r="C28" s="1" t="s">
        <v>27</v>
      </c>
      <c r="D28" s="1" t="s">
        <v>28</v>
      </c>
      <c r="E28" s="1">
        <v>55270.52</v>
      </c>
      <c r="F28" s="1">
        <v>9315</v>
      </c>
      <c r="G28" s="1">
        <v>0.16900000000000001</v>
      </c>
      <c r="H28" s="1">
        <v>23</v>
      </c>
      <c r="I28" s="1">
        <v>91.9</v>
      </c>
      <c r="J28" s="1">
        <v>4.9400000000000004</v>
      </c>
      <c r="K28" s="1">
        <v>0</v>
      </c>
      <c r="L28" s="1">
        <v>4</v>
      </c>
      <c r="M28" s="1">
        <v>783672.82</v>
      </c>
      <c r="N28" s="1">
        <v>112577.14</v>
      </c>
    </row>
    <row r="29" spans="1:14">
      <c r="A29" s="1" t="s">
        <v>26</v>
      </c>
      <c r="B29" s="3">
        <v>45748</v>
      </c>
      <c r="C29" s="1" t="s">
        <v>27</v>
      </c>
      <c r="D29" s="1" t="s">
        <v>28</v>
      </c>
      <c r="E29" s="1">
        <v>52715.1</v>
      </c>
      <c r="F29" s="1">
        <v>7223</v>
      </c>
      <c r="G29" s="1">
        <v>0.122</v>
      </c>
      <c r="H29" s="1">
        <v>16</v>
      </c>
      <c r="I29" s="1">
        <v>84.2</v>
      </c>
      <c r="J29" s="1">
        <v>16.149999999999999</v>
      </c>
      <c r="K29" s="1">
        <v>0</v>
      </c>
      <c r="L29" s="1">
        <v>3.7</v>
      </c>
      <c r="M29" s="1">
        <v>701641.97</v>
      </c>
      <c r="N29" s="1">
        <v>106111.86</v>
      </c>
    </row>
    <row r="30" spans="1:14">
      <c r="A30" s="1" t="s">
        <v>29</v>
      </c>
      <c r="B30" s="3">
        <v>45658</v>
      </c>
      <c r="C30" s="1" t="s">
        <v>15</v>
      </c>
      <c r="D30" s="1" t="s">
        <v>16</v>
      </c>
      <c r="E30" s="1">
        <v>68600.62</v>
      </c>
      <c r="F30" s="1">
        <v>3988</v>
      </c>
      <c r="G30" s="1">
        <v>0.124</v>
      </c>
      <c r="H30" s="1">
        <v>11</v>
      </c>
      <c r="I30" s="1">
        <v>85</v>
      </c>
      <c r="J30" s="1">
        <v>0.48</v>
      </c>
      <c r="K30" s="1">
        <v>0</v>
      </c>
      <c r="L30" s="1">
        <v>3.6</v>
      </c>
      <c r="M30" s="1">
        <v>511844.41</v>
      </c>
      <c r="N30" s="1">
        <v>72774.44</v>
      </c>
    </row>
    <row r="31" spans="1:14">
      <c r="A31" s="1" t="s">
        <v>29</v>
      </c>
      <c r="B31" s="3">
        <v>45689</v>
      </c>
      <c r="C31" s="1" t="s">
        <v>15</v>
      </c>
      <c r="D31" s="1" t="s">
        <v>16</v>
      </c>
      <c r="E31" s="1">
        <v>63176.73</v>
      </c>
      <c r="F31" s="1">
        <v>2390</v>
      </c>
      <c r="G31" s="1">
        <v>0.216</v>
      </c>
      <c r="H31" s="1">
        <v>9</v>
      </c>
      <c r="I31" s="1">
        <v>87.5</v>
      </c>
      <c r="J31" s="1">
        <v>0.31</v>
      </c>
      <c r="K31" s="1">
        <v>0</v>
      </c>
      <c r="L31" s="1">
        <v>3.1</v>
      </c>
      <c r="M31" s="1">
        <v>537383.79</v>
      </c>
      <c r="N31" s="1">
        <v>63773.27</v>
      </c>
    </row>
    <row r="32" spans="1:14">
      <c r="A32" s="1" t="s">
        <v>29</v>
      </c>
      <c r="B32" s="3">
        <v>45717</v>
      </c>
      <c r="C32" s="1" t="s">
        <v>15</v>
      </c>
      <c r="D32" s="1" t="s">
        <v>16</v>
      </c>
      <c r="E32" s="1">
        <v>44970.080000000002</v>
      </c>
      <c r="F32" s="1">
        <v>2471</v>
      </c>
      <c r="G32" s="1">
        <v>0.13600000000000001</v>
      </c>
      <c r="H32" s="1">
        <v>11</v>
      </c>
      <c r="I32" s="1">
        <v>87.6</v>
      </c>
      <c r="J32" s="1">
        <v>3.01</v>
      </c>
      <c r="K32" s="1">
        <v>1</v>
      </c>
      <c r="L32" s="1">
        <v>3.7</v>
      </c>
      <c r="M32" s="1">
        <v>500173.02</v>
      </c>
      <c r="N32" s="1">
        <v>70982.05</v>
      </c>
    </row>
    <row r="33" spans="1:14">
      <c r="A33" s="1" t="s">
        <v>29</v>
      </c>
      <c r="B33" s="3">
        <v>45748</v>
      </c>
      <c r="C33" s="1" t="s">
        <v>15</v>
      </c>
      <c r="D33" s="1" t="s">
        <v>16</v>
      </c>
      <c r="E33" s="1">
        <v>69816.350000000006</v>
      </c>
      <c r="F33" s="1">
        <v>971</v>
      </c>
      <c r="G33" s="1">
        <v>0.16800000000000001</v>
      </c>
      <c r="H33" s="1">
        <v>5</v>
      </c>
      <c r="I33" s="1">
        <v>89.9</v>
      </c>
      <c r="J33" s="1">
        <v>12.15</v>
      </c>
      <c r="K33" s="1">
        <v>0</v>
      </c>
      <c r="L33" s="1">
        <v>3.6</v>
      </c>
      <c r="M33" s="1">
        <v>427917.38</v>
      </c>
      <c r="N33" s="1">
        <v>81824.31</v>
      </c>
    </row>
    <row r="34" spans="1:14">
      <c r="A34" s="1" t="s">
        <v>30</v>
      </c>
      <c r="B34" s="3">
        <v>45658</v>
      </c>
      <c r="C34" s="1" t="s">
        <v>20</v>
      </c>
      <c r="D34" s="1" t="s">
        <v>16</v>
      </c>
      <c r="E34" s="1">
        <v>54597.83</v>
      </c>
      <c r="F34" s="1">
        <v>9429</v>
      </c>
      <c r="G34" s="1">
        <v>0.188</v>
      </c>
      <c r="H34" s="1">
        <v>21</v>
      </c>
      <c r="I34" s="1">
        <v>83.3</v>
      </c>
      <c r="J34" s="1">
        <v>11.71</v>
      </c>
      <c r="K34" s="1">
        <v>0</v>
      </c>
      <c r="L34" s="1">
        <v>4.2</v>
      </c>
      <c r="M34" s="1">
        <v>641865.03</v>
      </c>
      <c r="N34" s="1">
        <v>81342.58</v>
      </c>
    </row>
    <row r="35" spans="1:14">
      <c r="A35" s="1" t="s">
        <v>30</v>
      </c>
      <c r="B35" s="3">
        <v>45689</v>
      </c>
      <c r="C35" s="1" t="s">
        <v>20</v>
      </c>
      <c r="D35" s="1" t="s">
        <v>16</v>
      </c>
      <c r="E35" s="1">
        <v>73771.91</v>
      </c>
      <c r="F35" s="1">
        <v>11695</v>
      </c>
      <c r="G35" s="1">
        <v>7.0000000000000007E-2</v>
      </c>
      <c r="H35" s="1">
        <v>25</v>
      </c>
      <c r="I35" s="1">
        <v>84.7</v>
      </c>
      <c r="J35" s="1">
        <v>0.62</v>
      </c>
      <c r="K35" s="1">
        <v>0</v>
      </c>
      <c r="L35" s="1">
        <v>3.92</v>
      </c>
      <c r="M35" s="1">
        <v>799477.76000000001</v>
      </c>
      <c r="N35" s="1">
        <v>164974.41</v>
      </c>
    </row>
    <row r="36" spans="1:14">
      <c r="A36" s="1" t="s">
        <v>30</v>
      </c>
      <c r="B36" s="3">
        <v>45717</v>
      </c>
      <c r="C36" s="1" t="s">
        <v>20</v>
      </c>
      <c r="D36" s="1" t="s">
        <v>16</v>
      </c>
      <c r="E36" s="1">
        <v>74413.88</v>
      </c>
      <c r="F36" s="1">
        <v>9449</v>
      </c>
      <c r="G36" s="1">
        <v>3.9E-2</v>
      </c>
      <c r="H36" s="1">
        <v>23</v>
      </c>
      <c r="I36" s="1">
        <v>92.1</v>
      </c>
      <c r="J36" s="1">
        <v>2.12</v>
      </c>
      <c r="K36" s="1">
        <v>0</v>
      </c>
      <c r="L36" s="1">
        <v>3.5</v>
      </c>
      <c r="M36" s="1">
        <v>798952.17</v>
      </c>
      <c r="N36" s="1">
        <v>161499.04</v>
      </c>
    </row>
    <row r="37" spans="1:14">
      <c r="A37" s="1" t="s">
        <v>30</v>
      </c>
      <c r="B37" s="3">
        <v>45748</v>
      </c>
      <c r="C37" s="1" t="s">
        <v>20</v>
      </c>
      <c r="D37" s="1" t="s">
        <v>16</v>
      </c>
      <c r="E37" s="1">
        <v>52483.77</v>
      </c>
      <c r="F37" s="1">
        <v>10453</v>
      </c>
      <c r="G37" s="1">
        <v>0.247</v>
      </c>
      <c r="H37" s="1">
        <v>25</v>
      </c>
      <c r="I37" s="1">
        <v>99</v>
      </c>
      <c r="J37" s="1">
        <v>6.31</v>
      </c>
      <c r="K37" s="1">
        <v>0</v>
      </c>
      <c r="L37" s="1">
        <v>3.6</v>
      </c>
      <c r="M37" s="1">
        <v>800979.78</v>
      </c>
      <c r="N37" s="1">
        <v>149242.26999999999</v>
      </c>
    </row>
    <row r="38" spans="1:14">
      <c r="A38" s="1" t="s">
        <v>31</v>
      </c>
      <c r="B38" s="3">
        <v>45658</v>
      </c>
      <c r="C38" s="1" t="s">
        <v>20</v>
      </c>
      <c r="D38" s="1" t="s">
        <v>28</v>
      </c>
      <c r="E38" s="1">
        <v>75269.87</v>
      </c>
      <c r="F38" s="1">
        <v>8838</v>
      </c>
      <c r="G38" s="1">
        <v>9.1999999999999998E-2</v>
      </c>
      <c r="H38" s="1">
        <v>21</v>
      </c>
      <c r="I38" s="1">
        <v>83.1</v>
      </c>
      <c r="J38" s="1">
        <v>9.56</v>
      </c>
      <c r="K38" s="1">
        <v>1</v>
      </c>
      <c r="L38" s="1">
        <v>4.2</v>
      </c>
      <c r="M38" s="1">
        <v>820593.93</v>
      </c>
      <c r="N38" s="1">
        <v>115860.06</v>
      </c>
    </row>
    <row r="39" spans="1:14">
      <c r="A39" s="1" t="s">
        <v>31</v>
      </c>
      <c r="B39" s="3">
        <v>45689</v>
      </c>
      <c r="C39" s="1" t="s">
        <v>20</v>
      </c>
      <c r="D39" s="1" t="s">
        <v>28</v>
      </c>
      <c r="E39" s="1">
        <v>61245.41</v>
      </c>
      <c r="F39" s="1">
        <v>8156</v>
      </c>
      <c r="G39" s="1">
        <v>0.156</v>
      </c>
      <c r="H39" s="1">
        <v>19</v>
      </c>
      <c r="I39" s="1">
        <v>92.9</v>
      </c>
      <c r="J39" s="1">
        <v>9.0500000000000007</v>
      </c>
      <c r="K39" s="1">
        <v>0</v>
      </c>
      <c r="L39" s="1">
        <v>3.8</v>
      </c>
      <c r="M39" s="1">
        <v>718330.53</v>
      </c>
      <c r="N39" s="1">
        <v>93247.9</v>
      </c>
    </row>
    <row r="40" spans="1:14">
      <c r="A40" s="1" t="s">
        <v>31</v>
      </c>
      <c r="B40" s="3">
        <v>45717</v>
      </c>
      <c r="C40" s="1" t="s">
        <v>20</v>
      </c>
      <c r="D40" s="1" t="s">
        <v>28</v>
      </c>
      <c r="E40" s="1">
        <v>93381.26</v>
      </c>
      <c r="F40" s="1">
        <v>7562</v>
      </c>
      <c r="G40" s="1">
        <v>0.19800000000000001</v>
      </c>
      <c r="H40" s="1">
        <v>19</v>
      </c>
      <c r="I40" s="1">
        <v>82.9</v>
      </c>
      <c r="J40" s="1">
        <v>5.05</v>
      </c>
      <c r="K40" s="1">
        <v>0</v>
      </c>
      <c r="L40" s="1">
        <v>4</v>
      </c>
      <c r="M40" s="1">
        <v>736633.4</v>
      </c>
      <c r="N40" s="1">
        <v>115654.66</v>
      </c>
    </row>
    <row r="41" spans="1:14">
      <c r="A41" s="1" t="s">
        <v>31</v>
      </c>
      <c r="B41" s="3">
        <v>45748</v>
      </c>
      <c r="C41" s="1" t="s">
        <v>20</v>
      </c>
      <c r="D41" s="1" t="s">
        <v>28</v>
      </c>
      <c r="E41" s="1">
        <v>65012.19</v>
      </c>
      <c r="F41" s="1">
        <v>9598</v>
      </c>
      <c r="G41" s="1">
        <v>8.5000000000000006E-2</v>
      </c>
      <c r="H41" s="1">
        <v>24</v>
      </c>
      <c r="I41" s="1">
        <v>98.3</v>
      </c>
      <c r="J41" s="1">
        <v>0.89</v>
      </c>
      <c r="K41" s="1">
        <v>0</v>
      </c>
      <c r="L41" s="1">
        <v>3.8</v>
      </c>
      <c r="M41" s="1">
        <v>828623.85</v>
      </c>
      <c r="N41" s="1">
        <v>167320.51999999999</v>
      </c>
    </row>
    <row r="42" spans="1:14">
      <c r="A42" s="1" t="s">
        <v>32</v>
      </c>
      <c r="B42" s="3">
        <v>45658</v>
      </c>
      <c r="C42" s="1" t="s">
        <v>15</v>
      </c>
      <c r="D42" s="1" t="s">
        <v>28</v>
      </c>
      <c r="E42" s="1">
        <v>40462.94</v>
      </c>
      <c r="F42" s="1">
        <v>3660</v>
      </c>
      <c r="G42" s="1">
        <v>0.218</v>
      </c>
      <c r="H42" s="1">
        <v>11</v>
      </c>
      <c r="I42" s="1">
        <v>95.2</v>
      </c>
      <c r="J42" s="1">
        <v>5.57</v>
      </c>
      <c r="K42" s="1">
        <v>0</v>
      </c>
      <c r="L42" s="1">
        <v>4.4000000000000004</v>
      </c>
      <c r="M42" s="1">
        <v>592195.85</v>
      </c>
      <c r="N42" s="1">
        <v>92291.56</v>
      </c>
    </row>
    <row r="43" spans="1:14">
      <c r="A43" s="1" t="s">
        <v>32</v>
      </c>
      <c r="B43" s="3">
        <v>45689</v>
      </c>
      <c r="C43" s="1" t="s">
        <v>15</v>
      </c>
      <c r="D43" s="1" t="s">
        <v>28</v>
      </c>
      <c r="E43" s="1">
        <v>46123.88</v>
      </c>
      <c r="F43" s="1">
        <v>3227</v>
      </c>
      <c r="G43" s="1">
        <v>0.14299999999999999</v>
      </c>
      <c r="H43" s="1">
        <v>10</v>
      </c>
      <c r="I43" s="1">
        <v>75.400000000000006</v>
      </c>
      <c r="J43" s="1">
        <v>1.06</v>
      </c>
      <c r="K43" s="1">
        <v>0</v>
      </c>
      <c r="L43" s="1">
        <v>4.4000000000000004</v>
      </c>
      <c r="M43" s="1">
        <v>532644.46</v>
      </c>
      <c r="N43" s="1">
        <v>60681.32</v>
      </c>
    </row>
    <row r="44" spans="1:14">
      <c r="A44" s="1" t="s">
        <v>32</v>
      </c>
      <c r="B44" s="3">
        <v>45717</v>
      </c>
      <c r="C44" s="1" t="s">
        <v>15</v>
      </c>
      <c r="D44" s="1" t="s">
        <v>28</v>
      </c>
      <c r="E44" s="1">
        <v>68077.539999999994</v>
      </c>
      <c r="F44" s="1">
        <v>3360</v>
      </c>
      <c r="G44" s="1">
        <v>0.128</v>
      </c>
      <c r="H44" s="1">
        <v>14</v>
      </c>
      <c r="I44" s="1">
        <v>88.2</v>
      </c>
      <c r="J44" s="1">
        <v>1.24</v>
      </c>
      <c r="K44" s="1">
        <v>1</v>
      </c>
      <c r="L44" s="1">
        <v>4</v>
      </c>
      <c r="M44" s="1">
        <v>657429.18000000005</v>
      </c>
      <c r="N44" s="1">
        <v>88919.74</v>
      </c>
    </row>
    <row r="45" spans="1:14">
      <c r="A45" s="1" t="s">
        <v>32</v>
      </c>
      <c r="B45" s="3">
        <v>45748</v>
      </c>
      <c r="C45" s="1" t="s">
        <v>15</v>
      </c>
      <c r="D45" s="1" t="s">
        <v>28</v>
      </c>
      <c r="E45" s="1">
        <v>64882.14</v>
      </c>
      <c r="F45" s="1">
        <v>3642</v>
      </c>
      <c r="G45" s="1">
        <v>1.9E-2</v>
      </c>
      <c r="H45" s="1">
        <v>13</v>
      </c>
      <c r="I45" s="1">
        <v>87.8</v>
      </c>
      <c r="J45" s="1">
        <v>4.5199999999999996</v>
      </c>
      <c r="K45" s="1">
        <v>0</v>
      </c>
      <c r="L45" s="1">
        <v>4.2</v>
      </c>
      <c r="M45" s="1">
        <v>605178</v>
      </c>
      <c r="N45" s="1">
        <v>106958.74</v>
      </c>
    </row>
    <row r="46" spans="1:14">
      <c r="A46" s="1" t="s">
        <v>33</v>
      </c>
      <c r="B46" s="3">
        <v>45658</v>
      </c>
      <c r="C46" s="1" t="s">
        <v>27</v>
      </c>
      <c r="D46" s="1" t="s">
        <v>16</v>
      </c>
      <c r="E46" s="1">
        <v>138855.51</v>
      </c>
      <c r="F46" s="1">
        <v>5145</v>
      </c>
      <c r="G46" s="1">
        <v>0.06</v>
      </c>
      <c r="H46" s="1">
        <v>17</v>
      </c>
      <c r="I46" s="1">
        <v>88.2</v>
      </c>
      <c r="J46" s="1">
        <v>9.58</v>
      </c>
      <c r="K46" s="1">
        <v>0</v>
      </c>
      <c r="L46" s="1">
        <v>3.2</v>
      </c>
      <c r="M46" s="1">
        <v>595467.6</v>
      </c>
      <c r="N46" s="1">
        <v>104276.46</v>
      </c>
    </row>
    <row r="47" spans="1:14">
      <c r="A47" s="1" t="s">
        <v>33</v>
      </c>
      <c r="B47" s="3">
        <v>45689</v>
      </c>
      <c r="C47" s="1" t="s">
        <v>27</v>
      </c>
      <c r="D47" s="1" t="s">
        <v>16</v>
      </c>
      <c r="E47" s="1">
        <v>63630.21</v>
      </c>
      <c r="F47" s="1">
        <v>4460</v>
      </c>
      <c r="G47" s="1">
        <v>0.23499999999999999</v>
      </c>
      <c r="H47" s="1">
        <v>14</v>
      </c>
      <c r="I47" s="1">
        <v>98.6</v>
      </c>
      <c r="J47" s="1">
        <v>5.52</v>
      </c>
      <c r="K47" s="1">
        <v>0</v>
      </c>
      <c r="L47" s="1">
        <v>3.5</v>
      </c>
      <c r="M47" s="1">
        <v>599603.4</v>
      </c>
      <c r="N47" s="1">
        <v>112685.12</v>
      </c>
    </row>
    <row r="48" spans="1:14">
      <c r="A48" s="1" t="s">
        <v>33</v>
      </c>
      <c r="B48" s="3">
        <v>45717</v>
      </c>
      <c r="C48" s="1" t="s">
        <v>27</v>
      </c>
      <c r="D48" s="1" t="s">
        <v>16</v>
      </c>
      <c r="E48" s="1">
        <v>50043.65</v>
      </c>
      <c r="F48" s="1">
        <v>3804</v>
      </c>
      <c r="G48" s="1">
        <v>0.113</v>
      </c>
      <c r="H48" s="1">
        <v>11</v>
      </c>
      <c r="I48" s="1">
        <v>90.9</v>
      </c>
      <c r="J48" s="1">
        <v>2.7</v>
      </c>
      <c r="K48" s="1">
        <v>1</v>
      </c>
      <c r="L48" s="1">
        <v>3.2</v>
      </c>
      <c r="M48" s="1">
        <v>614800.09</v>
      </c>
      <c r="N48" s="1">
        <v>100044.2</v>
      </c>
    </row>
    <row r="49" spans="1:14">
      <c r="A49" s="1" t="s">
        <v>33</v>
      </c>
      <c r="B49" s="3">
        <v>45748</v>
      </c>
      <c r="C49" s="1" t="s">
        <v>27</v>
      </c>
      <c r="D49" s="1" t="s">
        <v>16</v>
      </c>
      <c r="E49" s="1">
        <v>42093.84</v>
      </c>
      <c r="F49" s="1">
        <v>4074</v>
      </c>
      <c r="G49" s="1">
        <v>0.155</v>
      </c>
      <c r="H49" s="1">
        <v>15</v>
      </c>
      <c r="I49" s="1">
        <v>88</v>
      </c>
      <c r="J49" s="1">
        <v>9.64</v>
      </c>
      <c r="K49" s="1">
        <v>0</v>
      </c>
      <c r="L49" s="1">
        <v>3.3</v>
      </c>
      <c r="M49" s="1">
        <v>585365.73</v>
      </c>
      <c r="N49" s="1">
        <v>81011.520000000004</v>
      </c>
    </row>
    <row r="50" spans="1:14">
      <c r="A50" s="1" t="s">
        <v>34</v>
      </c>
      <c r="B50" s="3">
        <v>45658</v>
      </c>
      <c r="C50" s="1" t="s">
        <v>20</v>
      </c>
      <c r="D50" s="1" t="s">
        <v>28</v>
      </c>
      <c r="E50" s="1">
        <v>46624.05</v>
      </c>
      <c r="F50" s="1">
        <v>5104</v>
      </c>
      <c r="G50" s="1">
        <v>0.109</v>
      </c>
      <c r="H50" s="1">
        <v>11</v>
      </c>
      <c r="I50" s="1">
        <v>97.3</v>
      </c>
      <c r="J50" s="1">
        <v>3.49</v>
      </c>
      <c r="K50" s="1">
        <v>1</v>
      </c>
      <c r="L50" s="1">
        <v>4.7</v>
      </c>
      <c r="M50" s="1">
        <v>622811.74</v>
      </c>
      <c r="N50" s="1">
        <v>109978.35</v>
      </c>
    </row>
    <row r="51" spans="1:14">
      <c r="A51" s="1" t="s">
        <v>34</v>
      </c>
      <c r="B51" s="3">
        <v>45689</v>
      </c>
      <c r="C51" s="1" t="s">
        <v>20</v>
      </c>
      <c r="D51" s="1" t="s">
        <v>28</v>
      </c>
      <c r="E51" s="1">
        <v>49710.29</v>
      </c>
      <c r="F51" s="1">
        <v>5559</v>
      </c>
      <c r="G51" s="1">
        <v>0.218</v>
      </c>
      <c r="H51" s="1">
        <v>14</v>
      </c>
      <c r="I51" s="1">
        <v>71</v>
      </c>
      <c r="J51" s="1">
        <v>9.11</v>
      </c>
      <c r="K51" s="1">
        <v>0</v>
      </c>
      <c r="L51" s="1">
        <v>4.5999999999999996</v>
      </c>
      <c r="M51" s="1">
        <v>603297.56999999995</v>
      </c>
      <c r="N51" s="1">
        <v>60592.26</v>
      </c>
    </row>
    <row r="52" spans="1:14">
      <c r="A52" s="1" t="s">
        <v>34</v>
      </c>
      <c r="B52" s="3">
        <v>45717</v>
      </c>
      <c r="C52" s="1" t="s">
        <v>20</v>
      </c>
      <c r="D52" s="1" t="s">
        <v>28</v>
      </c>
      <c r="E52" s="1">
        <v>48287.85</v>
      </c>
      <c r="F52" s="1">
        <v>5150</v>
      </c>
      <c r="G52" s="1">
        <v>8.0000000000000002E-3</v>
      </c>
      <c r="H52" s="1">
        <v>12</v>
      </c>
      <c r="I52" s="1">
        <v>80.400000000000006</v>
      </c>
      <c r="J52" s="1">
        <v>7.4</v>
      </c>
      <c r="K52" s="1">
        <v>0</v>
      </c>
      <c r="L52" s="1">
        <v>4.5</v>
      </c>
      <c r="M52" s="1">
        <v>625672.86</v>
      </c>
      <c r="N52" s="1">
        <v>118020.12</v>
      </c>
    </row>
    <row r="53" spans="1:14">
      <c r="A53" s="1" t="s">
        <v>34</v>
      </c>
      <c r="B53" s="3">
        <v>45748</v>
      </c>
      <c r="C53" s="1" t="s">
        <v>20</v>
      </c>
      <c r="D53" s="1" t="s">
        <v>28</v>
      </c>
      <c r="E53" s="1">
        <v>65312.49</v>
      </c>
      <c r="F53" s="1">
        <v>7189</v>
      </c>
      <c r="G53" s="1">
        <v>0.05</v>
      </c>
      <c r="H53" s="1">
        <v>19</v>
      </c>
      <c r="I53" s="1">
        <v>93.7</v>
      </c>
      <c r="J53" s="1">
        <v>7.16</v>
      </c>
      <c r="K53" s="1">
        <v>0</v>
      </c>
      <c r="L53" s="1">
        <v>4.5999999999999996</v>
      </c>
      <c r="M53" s="1">
        <v>773815.14</v>
      </c>
      <c r="N53" s="1">
        <v>133948.39000000001</v>
      </c>
    </row>
    <row r="54" spans="1:14">
      <c r="A54" s="1" t="s">
        <v>35</v>
      </c>
      <c r="B54" s="3">
        <v>45658</v>
      </c>
      <c r="C54" s="1" t="s">
        <v>27</v>
      </c>
      <c r="D54" s="1" t="s">
        <v>18</v>
      </c>
      <c r="E54" s="1">
        <v>53015.46</v>
      </c>
      <c r="F54" s="1">
        <v>3279</v>
      </c>
      <c r="G54" s="1">
        <v>8.6999999999999994E-2</v>
      </c>
      <c r="H54" s="1">
        <v>9</v>
      </c>
      <c r="I54" s="1">
        <v>84.3</v>
      </c>
      <c r="J54" s="1">
        <v>22.02</v>
      </c>
      <c r="K54" s="1">
        <v>0</v>
      </c>
      <c r="L54" s="1">
        <v>3.9</v>
      </c>
      <c r="M54" s="1">
        <v>463534.25</v>
      </c>
      <c r="N54" s="1">
        <v>81834.539999999994</v>
      </c>
    </row>
    <row r="55" spans="1:14">
      <c r="A55" s="1" t="s">
        <v>35</v>
      </c>
      <c r="B55" s="3">
        <v>45689</v>
      </c>
      <c r="C55" s="1" t="s">
        <v>27</v>
      </c>
      <c r="D55" s="1" t="s">
        <v>18</v>
      </c>
      <c r="E55" s="1">
        <v>99874.01</v>
      </c>
      <c r="F55" s="1">
        <v>5887</v>
      </c>
      <c r="G55" s="1">
        <v>0.26200000000000001</v>
      </c>
      <c r="H55" s="1">
        <v>14</v>
      </c>
      <c r="I55" s="1">
        <v>88.7</v>
      </c>
      <c r="J55" s="1">
        <v>6.18</v>
      </c>
      <c r="K55" s="1">
        <v>0</v>
      </c>
      <c r="L55" s="1">
        <v>4.7</v>
      </c>
      <c r="M55" s="1">
        <v>746677.75</v>
      </c>
      <c r="N55" s="1">
        <v>122437.84</v>
      </c>
    </row>
    <row r="56" spans="1:14">
      <c r="A56" s="1" t="s">
        <v>35</v>
      </c>
      <c r="B56" s="3">
        <v>45717</v>
      </c>
      <c r="C56" s="1" t="s">
        <v>27</v>
      </c>
      <c r="D56" s="1" t="s">
        <v>18</v>
      </c>
      <c r="E56" s="1">
        <v>81195.5</v>
      </c>
      <c r="F56" s="1">
        <v>5516</v>
      </c>
      <c r="G56" s="1">
        <v>0.106</v>
      </c>
      <c r="H56" s="1">
        <v>14</v>
      </c>
      <c r="I56" s="1">
        <v>88</v>
      </c>
      <c r="J56" s="1">
        <v>1.76</v>
      </c>
      <c r="K56" s="1">
        <v>0</v>
      </c>
      <c r="L56" s="1">
        <v>4.3</v>
      </c>
      <c r="M56" s="1">
        <v>720852.5</v>
      </c>
      <c r="N56" s="1">
        <v>98565.62</v>
      </c>
    </row>
    <row r="57" spans="1:14">
      <c r="A57" s="1" t="s">
        <v>35</v>
      </c>
      <c r="B57" s="3">
        <v>45748</v>
      </c>
      <c r="C57" s="1" t="s">
        <v>27</v>
      </c>
      <c r="D57" s="1" t="s">
        <v>18</v>
      </c>
      <c r="E57" s="1">
        <v>27808.6</v>
      </c>
      <c r="F57" s="1">
        <v>2863</v>
      </c>
      <c r="G57" s="1">
        <v>0.08</v>
      </c>
      <c r="H57" s="1">
        <v>13</v>
      </c>
      <c r="I57" s="1">
        <v>89.3</v>
      </c>
      <c r="J57" s="1">
        <v>0.47</v>
      </c>
      <c r="K57" s="1">
        <v>0</v>
      </c>
      <c r="L57" s="1">
        <v>4.0999999999999996</v>
      </c>
      <c r="M57" s="1">
        <v>487464.91</v>
      </c>
      <c r="N57" s="1">
        <v>64562.26</v>
      </c>
    </row>
    <row r="58" spans="1:14">
      <c r="A58" s="1" t="s">
        <v>36</v>
      </c>
      <c r="B58" s="3">
        <v>45658</v>
      </c>
      <c r="C58" s="1" t="s">
        <v>15</v>
      </c>
      <c r="D58" s="1" t="s">
        <v>21</v>
      </c>
      <c r="E58" s="1">
        <v>19365.060000000001</v>
      </c>
      <c r="F58" s="1">
        <v>2378</v>
      </c>
      <c r="G58" s="1">
        <v>0</v>
      </c>
      <c r="H58" s="1">
        <v>12</v>
      </c>
      <c r="I58" s="1">
        <v>94.8</v>
      </c>
      <c r="J58" s="1">
        <v>0.2</v>
      </c>
      <c r="K58" s="1">
        <v>0</v>
      </c>
      <c r="L58" s="1">
        <v>3.5</v>
      </c>
      <c r="M58" s="1">
        <v>518049.26</v>
      </c>
      <c r="N58" s="1">
        <v>108592.49</v>
      </c>
    </row>
    <row r="59" spans="1:14">
      <c r="A59" s="1" t="s">
        <v>36</v>
      </c>
      <c r="B59" s="3">
        <v>45689</v>
      </c>
      <c r="C59" s="1" t="s">
        <v>15</v>
      </c>
      <c r="D59" s="1" t="s">
        <v>21</v>
      </c>
      <c r="E59" s="1">
        <v>59405.68</v>
      </c>
      <c r="F59" s="1">
        <v>2515</v>
      </c>
      <c r="G59" s="1">
        <v>3.9E-2</v>
      </c>
      <c r="H59" s="1">
        <v>12</v>
      </c>
      <c r="I59" s="1">
        <v>76</v>
      </c>
      <c r="J59" s="1">
        <v>5.1100000000000003</v>
      </c>
      <c r="K59" s="1">
        <v>0</v>
      </c>
      <c r="L59" s="1">
        <v>3.7</v>
      </c>
      <c r="M59" s="1">
        <v>500298.48</v>
      </c>
      <c r="N59" s="1">
        <v>73461.320000000007</v>
      </c>
    </row>
    <row r="60" spans="1:14">
      <c r="A60" s="1" t="s">
        <v>36</v>
      </c>
      <c r="B60" s="3">
        <v>45717</v>
      </c>
      <c r="C60" s="1" t="s">
        <v>15</v>
      </c>
      <c r="D60" s="1" t="s">
        <v>21</v>
      </c>
      <c r="E60" s="1">
        <v>118910.48</v>
      </c>
      <c r="F60" s="1">
        <v>4022</v>
      </c>
      <c r="G60" s="1">
        <v>0.13700000000000001</v>
      </c>
      <c r="H60" s="1">
        <v>11</v>
      </c>
      <c r="I60" s="1">
        <v>87.1</v>
      </c>
      <c r="J60" s="1">
        <v>0.2</v>
      </c>
      <c r="K60" s="1">
        <v>0</v>
      </c>
      <c r="L60" s="1">
        <v>3.1</v>
      </c>
      <c r="M60" s="1">
        <v>617291.15</v>
      </c>
      <c r="N60" s="1">
        <v>117782</v>
      </c>
    </row>
    <row r="61" spans="1:14">
      <c r="A61" s="1" t="s">
        <v>36</v>
      </c>
      <c r="B61" s="3">
        <v>45748</v>
      </c>
      <c r="C61" s="1" t="s">
        <v>15</v>
      </c>
      <c r="D61" s="1" t="s">
        <v>21</v>
      </c>
      <c r="E61" s="1">
        <v>52952.12</v>
      </c>
      <c r="F61" s="1">
        <v>4377</v>
      </c>
      <c r="G61" s="1">
        <v>9.1999999999999998E-2</v>
      </c>
      <c r="H61" s="1">
        <v>14</v>
      </c>
      <c r="I61" s="1">
        <v>88.6</v>
      </c>
      <c r="J61" s="1">
        <v>13.59</v>
      </c>
      <c r="K61" s="1">
        <v>0</v>
      </c>
      <c r="L61" s="1">
        <v>3.1</v>
      </c>
      <c r="M61" s="1">
        <v>553756.43000000005</v>
      </c>
      <c r="N61" s="1">
        <v>86166.77</v>
      </c>
    </row>
    <row r="62" spans="1:14">
      <c r="A62" s="1" t="s">
        <v>37</v>
      </c>
      <c r="B62" s="3">
        <v>45658</v>
      </c>
      <c r="C62" s="1" t="s">
        <v>24</v>
      </c>
      <c r="D62" s="1" t="s">
        <v>18</v>
      </c>
      <c r="E62" s="1">
        <v>74907.98</v>
      </c>
      <c r="F62" s="1">
        <v>5306</v>
      </c>
      <c r="G62" s="1">
        <v>6.2E-2</v>
      </c>
      <c r="H62" s="1">
        <v>16</v>
      </c>
      <c r="I62" s="1">
        <v>95.6</v>
      </c>
      <c r="J62" s="1">
        <v>1.02</v>
      </c>
      <c r="K62" s="1">
        <v>0</v>
      </c>
      <c r="L62" s="1">
        <v>3.7</v>
      </c>
      <c r="M62" s="1">
        <v>749559.71</v>
      </c>
      <c r="N62" s="1">
        <v>144522.53</v>
      </c>
    </row>
    <row r="63" spans="1:14">
      <c r="A63" s="1" t="s">
        <v>37</v>
      </c>
      <c r="B63" s="3">
        <v>45689</v>
      </c>
      <c r="C63" s="1" t="s">
        <v>24</v>
      </c>
      <c r="D63" s="1" t="s">
        <v>18</v>
      </c>
      <c r="E63" s="1">
        <v>37284.660000000003</v>
      </c>
      <c r="F63" s="1">
        <v>3928</v>
      </c>
      <c r="G63" s="1">
        <v>7.3999999999999996E-2</v>
      </c>
      <c r="H63" s="1">
        <v>12</v>
      </c>
      <c r="I63" s="1">
        <v>86.5</v>
      </c>
      <c r="J63" s="1">
        <v>1.64</v>
      </c>
      <c r="K63" s="1">
        <v>0</v>
      </c>
      <c r="L63" s="1">
        <v>3.8</v>
      </c>
      <c r="M63" s="1">
        <v>615966.48</v>
      </c>
      <c r="N63" s="1">
        <v>91509.38</v>
      </c>
    </row>
    <row r="64" spans="1:14">
      <c r="A64" s="1" t="s">
        <v>37</v>
      </c>
      <c r="B64" s="3">
        <v>45717</v>
      </c>
      <c r="C64" s="1" t="s">
        <v>24</v>
      </c>
      <c r="D64" s="1" t="s">
        <v>18</v>
      </c>
      <c r="E64" s="1">
        <v>50343.19</v>
      </c>
      <c r="F64" s="1">
        <v>3845</v>
      </c>
      <c r="G64" s="1">
        <v>0.113</v>
      </c>
      <c r="H64" s="1">
        <v>9</v>
      </c>
      <c r="I64" s="1">
        <v>88.7</v>
      </c>
      <c r="J64" s="1">
        <v>5.15</v>
      </c>
      <c r="K64" s="1">
        <v>0</v>
      </c>
      <c r="L64" s="1">
        <v>3.3</v>
      </c>
      <c r="M64" s="1">
        <v>572011.19999999995</v>
      </c>
      <c r="N64" s="1">
        <v>101409.68</v>
      </c>
    </row>
    <row r="65" spans="1:14">
      <c r="A65" s="1" t="s">
        <v>37</v>
      </c>
      <c r="B65" s="3">
        <v>45748</v>
      </c>
      <c r="C65" s="1" t="s">
        <v>24</v>
      </c>
      <c r="D65" s="1" t="s">
        <v>18</v>
      </c>
      <c r="E65" s="1">
        <v>74954.47</v>
      </c>
      <c r="F65" s="1">
        <v>6620</v>
      </c>
      <c r="G65" s="1">
        <v>5.3999999999999999E-2</v>
      </c>
      <c r="H65" s="1">
        <v>17</v>
      </c>
      <c r="I65" s="1">
        <v>91.1</v>
      </c>
      <c r="J65" s="1">
        <v>1.1100000000000001</v>
      </c>
      <c r="K65" s="1">
        <v>0</v>
      </c>
      <c r="L65" s="1">
        <v>3.5</v>
      </c>
      <c r="M65" s="1">
        <v>761860.19</v>
      </c>
      <c r="N65" s="1">
        <v>133279.38</v>
      </c>
    </row>
    <row r="66" spans="1:14">
      <c r="A66" s="1" t="s">
        <v>38</v>
      </c>
      <c r="B66" s="3">
        <v>45658</v>
      </c>
      <c r="C66" s="1" t="s">
        <v>27</v>
      </c>
      <c r="D66" s="1" t="s">
        <v>18</v>
      </c>
      <c r="E66" s="1">
        <v>70040.31</v>
      </c>
      <c r="F66" s="1">
        <v>9175</v>
      </c>
      <c r="G66" s="1">
        <v>0.107</v>
      </c>
      <c r="H66" s="1">
        <v>23</v>
      </c>
      <c r="I66" s="1">
        <v>95.1</v>
      </c>
      <c r="J66" s="1">
        <v>6.08</v>
      </c>
      <c r="K66" s="1">
        <v>1</v>
      </c>
      <c r="L66" s="1">
        <v>3.4</v>
      </c>
      <c r="M66" s="1">
        <v>784502.68</v>
      </c>
      <c r="N66" s="1">
        <v>129519.72</v>
      </c>
    </row>
    <row r="67" spans="1:14">
      <c r="A67" s="1" t="s">
        <v>38</v>
      </c>
      <c r="B67" s="3">
        <v>45689</v>
      </c>
      <c r="C67" s="1" t="s">
        <v>27</v>
      </c>
      <c r="D67" s="1" t="s">
        <v>18</v>
      </c>
      <c r="E67" s="1">
        <v>51148.69</v>
      </c>
      <c r="F67" s="1">
        <v>7940</v>
      </c>
      <c r="G67" s="1">
        <v>0.156</v>
      </c>
      <c r="H67" s="1">
        <v>18</v>
      </c>
      <c r="I67" s="1">
        <v>93.3</v>
      </c>
      <c r="J67" s="1">
        <v>10.91</v>
      </c>
      <c r="K67" s="1">
        <v>0</v>
      </c>
      <c r="L67" s="1">
        <v>3.6</v>
      </c>
      <c r="M67" s="1">
        <v>717141.55</v>
      </c>
      <c r="N67" s="1">
        <v>134013.60999999999</v>
      </c>
    </row>
    <row r="68" spans="1:14">
      <c r="A68" s="1" t="s">
        <v>38</v>
      </c>
      <c r="B68" s="3">
        <v>45717</v>
      </c>
      <c r="C68" s="1" t="s">
        <v>27</v>
      </c>
      <c r="D68" s="1" t="s">
        <v>18</v>
      </c>
      <c r="E68" s="1">
        <v>79346.100000000006</v>
      </c>
      <c r="F68" s="1">
        <v>9628</v>
      </c>
      <c r="G68" s="1">
        <v>0.10199999999999999</v>
      </c>
      <c r="H68" s="1">
        <v>20</v>
      </c>
      <c r="I68" s="1">
        <v>99</v>
      </c>
      <c r="J68" s="1">
        <v>19.010000000000002</v>
      </c>
      <c r="K68" s="1">
        <v>1</v>
      </c>
      <c r="L68" s="1">
        <v>3.2</v>
      </c>
      <c r="M68" s="1">
        <v>685379.08</v>
      </c>
      <c r="N68" s="1">
        <v>106898.82</v>
      </c>
    </row>
    <row r="69" spans="1:14">
      <c r="A69" s="1" t="s">
        <v>38</v>
      </c>
      <c r="B69" s="3">
        <v>45748</v>
      </c>
      <c r="C69" s="1" t="s">
        <v>27</v>
      </c>
      <c r="D69" s="1" t="s">
        <v>18</v>
      </c>
      <c r="E69" s="1">
        <v>42018.400000000001</v>
      </c>
      <c r="F69" s="1">
        <v>8296</v>
      </c>
      <c r="G69" s="1">
        <v>0.115</v>
      </c>
      <c r="H69" s="1">
        <v>17</v>
      </c>
      <c r="I69" s="1">
        <v>91.8</v>
      </c>
      <c r="J69" s="1">
        <v>0.77</v>
      </c>
      <c r="K69" s="1">
        <v>0</v>
      </c>
      <c r="L69" s="1">
        <v>3.4</v>
      </c>
      <c r="M69" s="1">
        <v>740496.65</v>
      </c>
      <c r="N69" s="1">
        <v>128020.9</v>
      </c>
    </row>
    <row r="70" spans="1:14">
      <c r="A70" s="1" t="s">
        <v>39</v>
      </c>
      <c r="B70" s="3">
        <v>45658</v>
      </c>
      <c r="C70" s="1" t="s">
        <v>15</v>
      </c>
      <c r="D70" s="1" t="s">
        <v>18</v>
      </c>
      <c r="E70" s="1">
        <v>70937.240000000005</v>
      </c>
      <c r="F70" s="1">
        <v>3595</v>
      </c>
      <c r="G70" s="1">
        <v>0.14099999999999999</v>
      </c>
      <c r="H70" s="1">
        <v>11</v>
      </c>
      <c r="I70" s="1">
        <v>88.9</v>
      </c>
      <c r="J70" s="1">
        <v>2.83</v>
      </c>
      <c r="K70" s="1">
        <v>1</v>
      </c>
      <c r="L70" s="1">
        <v>3.3</v>
      </c>
      <c r="M70" s="1">
        <v>661927.14</v>
      </c>
      <c r="N70" s="1">
        <v>79218.570000000007</v>
      </c>
    </row>
    <row r="71" spans="1:14">
      <c r="A71" s="1" t="s">
        <v>39</v>
      </c>
      <c r="B71" s="3">
        <v>45689</v>
      </c>
      <c r="C71" s="1" t="s">
        <v>15</v>
      </c>
      <c r="D71" s="1" t="s">
        <v>18</v>
      </c>
      <c r="E71" s="1">
        <v>36813.449999999997</v>
      </c>
      <c r="F71" s="1">
        <v>2834</v>
      </c>
      <c r="G71" s="1">
        <v>0.191</v>
      </c>
      <c r="H71" s="1">
        <v>11</v>
      </c>
      <c r="I71" s="1">
        <v>81.8</v>
      </c>
      <c r="J71" s="1">
        <v>2.33</v>
      </c>
      <c r="K71" s="1">
        <v>0</v>
      </c>
      <c r="L71" s="1">
        <v>3.3</v>
      </c>
      <c r="M71" s="1">
        <v>479050.5</v>
      </c>
      <c r="N71" s="1">
        <v>53651.11</v>
      </c>
    </row>
    <row r="72" spans="1:14">
      <c r="A72" s="1" t="s">
        <v>39</v>
      </c>
      <c r="B72" s="3">
        <v>45717</v>
      </c>
      <c r="C72" s="1" t="s">
        <v>15</v>
      </c>
      <c r="D72" s="1" t="s">
        <v>18</v>
      </c>
      <c r="E72" s="1">
        <v>60571.82</v>
      </c>
      <c r="F72" s="1">
        <v>3193</v>
      </c>
      <c r="G72" s="1">
        <v>0.19700000000000001</v>
      </c>
      <c r="H72" s="1">
        <v>7</v>
      </c>
      <c r="I72" s="1">
        <v>99</v>
      </c>
      <c r="J72" s="1">
        <v>1.43</v>
      </c>
      <c r="K72" s="1">
        <v>0</v>
      </c>
      <c r="L72" s="1">
        <v>3.2</v>
      </c>
      <c r="M72" s="1">
        <v>605023.87</v>
      </c>
      <c r="N72" s="1">
        <v>98545.81</v>
      </c>
    </row>
    <row r="73" spans="1:14">
      <c r="A73" s="1" t="s">
        <v>39</v>
      </c>
      <c r="B73" s="3">
        <v>45748</v>
      </c>
      <c r="C73" s="1" t="s">
        <v>15</v>
      </c>
      <c r="D73" s="1" t="s">
        <v>18</v>
      </c>
      <c r="E73" s="1">
        <v>55081.16</v>
      </c>
      <c r="F73" s="1">
        <v>5485</v>
      </c>
      <c r="G73" s="1">
        <v>3.5999999999999997E-2</v>
      </c>
      <c r="H73" s="1">
        <v>12</v>
      </c>
      <c r="I73" s="1">
        <v>88</v>
      </c>
      <c r="J73" s="1">
        <v>3.36</v>
      </c>
      <c r="K73" s="1">
        <v>0</v>
      </c>
      <c r="L73" s="1">
        <v>3.5</v>
      </c>
      <c r="M73" s="1">
        <v>674774.09</v>
      </c>
      <c r="N73" s="1">
        <v>141917.59</v>
      </c>
    </row>
    <row r="74" spans="1:14">
      <c r="A74" s="1" t="s">
        <v>40</v>
      </c>
      <c r="B74" s="3">
        <v>45658</v>
      </c>
      <c r="C74" s="1" t="s">
        <v>15</v>
      </c>
      <c r="D74" s="1" t="s">
        <v>16</v>
      </c>
      <c r="E74" s="1">
        <v>46201.46</v>
      </c>
      <c r="F74" s="1">
        <v>5918</v>
      </c>
      <c r="G74" s="1">
        <v>0.27700000000000002</v>
      </c>
      <c r="H74" s="1">
        <v>13</v>
      </c>
      <c r="I74" s="1">
        <v>78.8</v>
      </c>
      <c r="J74" s="1">
        <v>4.91</v>
      </c>
      <c r="K74" s="1">
        <v>0</v>
      </c>
      <c r="L74" s="1">
        <v>4.5</v>
      </c>
      <c r="M74" s="1">
        <v>616069.41</v>
      </c>
      <c r="N74" s="1">
        <v>54453.99</v>
      </c>
    </row>
    <row r="75" spans="1:14">
      <c r="A75" s="1" t="s">
        <v>40</v>
      </c>
      <c r="B75" s="3">
        <v>45689</v>
      </c>
      <c r="C75" s="1" t="s">
        <v>15</v>
      </c>
      <c r="D75" s="1" t="s">
        <v>16</v>
      </c>
      <c r="E75" s="1">
        <v>53762.92</v>
      </c>
      <c r="F75" s="1">
        <v>6821</v>
      </c>
      <c r="G75" s="1">
        <v>6.6000000000000003E-2</v>
      </c>
      <c r="H75" s="1">
        <v>19</v>
      </c>
      <c r="I75" s="1">
        <v>94.6</v>
      </c>
      <c r="J75" s="1">
        <v>7.03</v>
      </c>
      <c r="K75" s="1">
        <v>0</v>
      </c>
      <c r="L75" s="1">
        <v>4.4000000000000004</v>
      </c>
      <c r="M75" s="1">
        <v>630829.93999999994</v>
      </c>
      <c r="N75" s="1">
        <v>117090.02</v>
      </c>
    </row>
    <row r="76" spans="1:14">
      <c r="A76" s="1" t="s">
        <v>40</v>
      </c>
      <c r="B76" s="3">
        <v>45717</v>
      </c>
      <c r="C76" s="1" t="s">
        <v>15</v>
      </c>
      <c r="D76" s="1" t="s">
        <v>16</v>
      </c>
      <c r="E76" s="1">
        <v>70144.78</v>
      </c>
      <c r="F76" s="1">
        <v>6806</v>
      </c>
      <c r="G76" s="1">
        <v>0.17799999999999999</v>
      </c>
      <c r="H76" s="1">
        <v>20</v>
      </c>
      <c r="I76" s="1">
        <v>93.1</v>
      </c>
      <c r="J76" s="1">
        <v>0.28000000000000003</v>
      </c>
      <c r="K76" s="1">
        <v>1</v>
      </c>
      <c r="L76" s="1">
        <v>4.3</v>
      </c>
      <c r="M76" s="1">
        <v>788087.68</v>
      </c>
      <c r="N76" s="1">
        <v>116803.42</v>
      </c>
    </row>
    <row r="77" spans="1:14">
      <c r="A77" s="1" t="s">
        <v>40</v>
      </c>
      <c r="B77" s="3">
        <v>45748</v>
      </c>
      <c r="C77" s="1" t="s">
        <v>15</v>
      </c>
      <c r="D77" s="1" t="s">
        <v>16</v>
      </c>
      <c r="E77" s="1">
        <v>58749.63</v>
      </c>
      <c r="F77" s="1">
        <v>8252</v>
      </c>
      <c r="G77" s="1">
        <v>0.20300000000000001</v>
      </c>
      <c r="H77" s="1">
        <v>20</v>
      </c>
      <c r="I77" s="1">
        <v>85.2</v>
      </c>
      <c r="J77" s="1">
        <v>3.61</v>
      </c>
      <c r="K77" s="1">
        <v>0</v>
      </c>
      <c r="L77" s="1">
        <v>4.5</v>
      </c>
      <c r="M77" s="1">
        <v>680840.36</v>
      </c>
      <c r="N77" s="1">
        <v>68007.679999999993</v>
      </c>
    </row>
    <row r="78" spans="1:14">
      <c r="A78" s="1" t="s">
        <v>41</v>
      </c>
      <c r="B78" s="3">
        <v>45658</v>
      </c>
      <c r="C78" s="1" t="s">
        <v>24</v>
      </c>
      <c r="D78" s="1" t="s">
        <v>18</v>
      </c>
      <c r="E78" s="1">
        <v>56973.18</v>
      </c>
      <c r="F78" s="1">
        <v>6662</v>
      </c>
      <c r="G78" s="1">
        <v>0.1</v>
      </c>
      <c r="H78" s="1">
        <v>15</v>
      </c>
      <c r="I78" s="1">
        <v>77.7</v>
      </c>
      <c r="J78" s="1">
        <v>7.52</v>
      </c>
      <c r="K78" s="1">
        <v>1</v>
      </c>
      <c r="L78" s="1">
        <v>3.2</v>
      </c>
      <c r="M78" s="1">
        <v>643657.47</v>
      </c>
      <c r="N78" s="1">
        <v>87022.45</v>
      </c>
    </row>
    <row r="79" spans="1:14">
      <c r="A79" s="1" t="s">
        <v>41</v>
      </c>
      <c r="B79" s="3">
        <v>45689</v>
      </c>
      <c r="C79" s="1" t="s">
        <v>24</v>
      </c>
      <c r="D79" s="1" t="s">
        <v>18</v>
      </c>
      <c r="E79" s="1">
        <v>54872.82</v>
      </c>
      <c r="F79" s="1">
        <v>5962</v>
      </c>
      <c r="G79" s="1">
        <v>6.4000000000000001E-2</v>
      </c>
      <c r="H79" s="1">
        <v>12</v>
      </c>
      <c r="I79" s="1">
        <v>85.4</v>
      </c>
      <c r="J79" s="1">
        <v>2.58</v>
      </c>
      <c r="K79" s="1">
        <v>0</v>
      </c>
      <c r="L79" s="1">
        <v>2.9</v>
      </c>
      <c r="M79" s="1">
        <v>691112.6</v>
      </c>
      <c r="N79" s="1">
        <v>109212.83</v>
      </c>
    </row>
    <row r="80" spans="1:14">
      <c r="A80" s="1" t="s">
        <v>41</v>
      </c>
      <c r="B80" s="3">
        <v>45717</v>
      </c>
      <c r="C80" s="1" t="s">
        <v>24</v>
      </c>
      <c r="D80" s="1" t="s">
        <v>18</v>
      </c>
      <c r="E80" s="1">
        <v>80562.81</v>
      </c>
      <c r="F80" s="1">
        <v>7470</v>
      </c>
      <c r="G80" s="1">
        <v>0.17199999999999999</v>
      </c>
      <c r="H80" s="1">
        <v>16</v>
      </c>
      <c r="I80" s="1">
        <v>83.5</v>
      </c>
      <c r="J80" s="1">
        <v>2.29</v>
      </c>
      <c r="K80" s="1">
        <v>0</v>
      </c>
      <c r="L80" s="1">
        <v>3.3</v>
      </c>
      <c r="M80" s="1">
        <v>776922.17</v>
      </c>
      <c r="N80" s="1">
        <v>150701.93</v>
      </c>
    </row>
    <row r="81" spans="1:14">
      <c r="A81" s="1" t="s">
        <v>41</v>
      </c>
      <c r="B81" s="3">
        <v>45748</v>
      </c>
      <c r="C81" s="1" t="s">
        <v>24</v>
      </c>
      <c r="D81" s="1" t="s">
        <v>18</v>
      </c>
      <c r="E81" s="1">
        <v>77999.899999999994</v>
      </c>
      <c r="F81" s="1">
        <v>5974</v>
      </c>
      <c r="G81" s="1">
        <v>0.252</v>
      </c>
      <c r="H81" s="1">
        <v>14</v>
      </c>
      <c r="I81" s="1">
        <v>81.3</v>
      </c>
      <c r="J81" s="1">
        <v>2.39</v>
      </c>
      <c r="K81" s="1">
        <v>0</v>
      </c>
      <c r="L81" s="1">
        <v>3.2</v>
      </c>
      <c r="M81" s="1">
        <v>636561.34</v>
      </c>
      <c r="N81" s="1">
        <v>93861.06</v>
      </c>
    </row>
    <row r="82" spans="1:14">
      <c r="A82" s="1" t="s">
        <v>42</v>
      </c>
      <c r="B82" s="3">
        <v>45658</v>
      </c>
      <c r="C82" s="1" t="s">
        <v>27</v>
      </c>
      <c r="D82" s="1" t="s">
        <v>28</v>
      </c>
      <c r="E82" s="1">
        <v>60881.01</v>
      </c>
      <c r="F82" s="1">
        <v>5410</v>
      </c>
      <c r="G82" s="1">
        <v>0.17899999999999999</v>
      </c>
      <c r="H82" s="1">
        <v>15</v>
      </c>
      <c r="I82" s="1">
        <v>83.9</v>
      </c>
      <c r="J82" s="1">
        <v>5.24</v>
      </c>
      <c r="K82" s="1">
        <v>0</v>
      </c>
      <c r="L82" s="1">
        <v>4.5999999999999996</v>
      </c>
      <c r="M82" s="1">
        <v>621369.57999999996</v>
      </c>
      <c r="N82" s="1">
        <v>85493.64</v>
      </c>
    </row>
    <row r="83" spans="1:14">
      <c r="A83" s="1" t="s">
        <v>42</v>
      </c>
      <c r="B83" s="3">
        <v>45689</v>
      </c>
      <c r="C83" s="1" t="s">
        <v>27</v>
      </c>
      <c r="D83" s="1" t="s">
        <v>28</v>
      </c>
      <c r="E83" s="1">
        <v>60628.38</v>
      </c>
      <c r="F83" s="1">
        <v>4451</v>
      </c>
      <c r="G83" s="1">
        <v>9.5000000000000001E-2</v>
      </c>
      <c r="H83" s="1">
        <v>10</v>
      </c>
      <c r="I83" s="1">
        <v>89.6</v>
      </c>
      <c r="J83" s="1">
        <v>3.17</v>
      </c>
      <c r="K83" s="1">
        <v>0</v>
      </c>
      <c r="L83" s="1">
        <v>4.5999999999999996</v>
      </c>
      <c r="M83" s="1">
        <v>682208.01</v>
      </c>
      <c r="N83" s="1">
        <v>110318.84</v>
      </c>
    </row>
    <row r="84" spans="1:14">
      <c r="A84" s="1" t="s">
        <v>42</v>
      </c>
      <c r="B84" s="3">
        <v>45717</v>
      </c>
      <c r="C84" s="1" t="s">
        <v>27</v>
      </c>
      <c r="D84" s="1" t="s">
        <v>28</v>
      </c>
      <c r="E84" s="1">
        <v>72731.14</v>
      </c>
      <c r="F84" s="1">
        <v>4644</v>
      </c>
      <c r="G84" s="1">
        <v>8.4000000000000005E-2</v>
      </c>
      <c r="H84" s="1">
        <v>15</v>
      </c>
      <c r="I84" s="1">
        <v>87.1</v>
      </c>
      <c r="J84" s="1">
        <v>2.66</v>
      </c>
      <c r="K84" s="1">
        <v>0</v>
      </c>
      <c r="L84" s="1">
        <v>4.5999999999999996</v>
      </c>
      <c r="M84" s="1">
        <v>727241.86</v>
      </c>
      <c r="N84" s="1">
        <v>155810.29999999999</v>
      </c>
    </row>
    <row r="85" spans="1:14">
      <c r="A85" s="1" t="s">
        <v>42</v>
      </c>
      <c r="B85" s="3">
        <v>45748</v>
      </c>
      <c r="C85" s="1" t="s">
        <v>27</v>
      </c>
      <c r="D85" s="1" t="s">
        <v>28</v>
      </c>
      <c r="E85" s="1">
        <v>36475.71</v>
      </c>
      <c r="F85" s="1">
        <v>3559</v>
      </c>
      <c r="G85" s="1">
        <v>0.03</v>
      </c>
      <c r="H85" s="1">
        <v>8</v>
      </c>
      <c r="I85" s="1">
        <v>83.6</v>
      </c>
      <c r="J85" s="1">
        <v>1.41</v>
      </c>
      <c r="K85" s="1">
        <v>0</v>
      </c>
      <c r="L85" s="1">
        <v>4.2</v>
      </c>
      <c r="M85" s="1">
        <v>569100.78</v>
      </c>
      <c r="N85" s="1">
        <v>104808.78</v>
      </c>
    </row>
    <row r="86" spans="1:14">
      <c r="A86" s="1" t="s">
        <v>43</v>
      </c>
      <c r="B86" s="3">
        <v>45658</v>
      </c>
      <c r="C86" s="1" t="s">
        <v>27</v>
      </c>
      <c r="D86" s="1" t="s">
        <v>18</v>
      </c>
      <c r="E86" s="1">
        <v>55388.11</v>
      </c>
      <c r="F86" s="1">
        <v>3091</v>
      </c>
      <c r="G86" s="1">
        <v>0.108</v>
      </c>
      <c r="H86" s="1">
        <v>7</v>
      </c>
      <c r="I86" s="1">
        <v>85.4</v>
      </c>
      <c r="J86" s="1">
        <v>7.34</v>
      </c>
      <c r="K86" s="1">
        <v>0</v>
      </c>
      <c r="L86" s="1">
        <v>4.9000000000000004</v>
      </c>
      <c r="M86" s="1">
        <v>574436.29</v>
      </c>
      <c r="N86" s="1">
        <v>80271.990000000005</v>
      </c>
    </row>
    <row r="87" spans="1:14">
      <c r="A87" s="1" t="s">
        <v>43</v>
      </c>
      <c r="B87" s="3">
        <v>45689</v>
      </c>
      <c r="C87" s="1" t="s">
        <v>27</v>
      </c>
      <c r="D87" s="1" t="s">
        <v>18</v>
      </c>
      <c r="E87" s="1">
        <v>88443.77</v>
      </c>
      <c r="F87" s="1">
        <v>4004</v>
      </c>
      <c r="G87" s="1">
        <v>0.20599999999999999</v>
      </c>
      <c r="H87" s="1">
        <v>11</v>
      </c>
      <c r="I87" s="1">
        <v>91.9</v>
      </c>
      <c r="J87" s="1">
        <v>5.95</v>
      </c>
      <c r="K87" s="1">
        <v>0</v>
      </c>
      <c r="L87" s="1">
        <v>3.92</v>
      </c>
      <c r="M87" s="1">
        <v>611766.72</v>
      </c>
      <c r="N87" s="1">
        <v>88275.61</v>
      </c>
    </row>
    <row r="88" spans="1:14">
      <c r="A88" s="1" t="s">
        <v>43</v>
      </c>
      <c r="B88" s="3">
        <v>45717</v>
      </c>
      <c r="C88" s="1" t="s">
        <v>27</v>
      </c>
      <c r="D88" s="1" t="s">
        <v>18</v>
      </c>
      <c r="E88" s="1">
        <v>78231.91</v>
      </c>
      <c r="F88" s="1">
        <v>3788</v>
      </c>
      <c r="G88" s="1">
        <v>5.8999999999999997E-2</v>
      </c>
      <c r="H88" s="1">
        <v>11</v>
      </c>
      <c r="I88" s="1">
        <v>88.5</v>
      </c>
      <c r="J88" s="1">
        <v>15.51</v>
      </c>
      <c r="K88" s="1">
        <v>0</v>
      </c>
      <c r="L88" s="1">
        <v>4.3</v>
      </c>
      <c r="M88" s="1">
        <v>614596.31999999995</v>
      </c>
      <c r="N88" s="1">
        <v>131199.41</v>
      </c>
    </row>
    <row r="89" spans="1:14">
      <c r="A89" s="1" t="s">
        <v>43</v>
      </c>
      <c r="B89" s="3">
        <v>45748</v>
      </c>
      <c r="C89" s="1" t="s">
        <v>27</v>
      </c>
      <c r="D89" s="1" t="s">
        <v>18</v>
      </c>
      <c r="E89" s="1">
        <v>18996.32</v>
      </c>
      <c r="F89" s="1">
        <v>1260</v>
      </c>
      <c r="G89" s="1">
        <v>0.14499999999999999</v>
      </c>
      <c r="H89" s="1">
        <v>9</v>
      </c>
      <c r="I89" s="1">
        <v>86.4</v>
      </c>
      <c r="J89" s="1">
        <v>4.3099999999999996</v>
      </c>
      <c r="K89" s="1">
        <v>0</v>
      </c>
      <c r="L89" s="1">
        <v>4.5999999999999996</v>
      </c>
      <c r="M89" s="1">
        <v>450711.92</v>
      </c>
      <c r="N89" s="1">
        <v>90043.76</v>
      </c>
    </row>
    <row r="90" spans="1:14">
      <c r="A90" s="1" t="s">
        <v>44</v>
      </c>
      <c r="B90" s="3">
        <v>45658</v>
      </c>
      <c r="C90" s="1" t="s">
        <v>24</v>
      </c>
      <c r="D90" s="1" t="s">
        <v>28</v>
      </c>
      <c r="E90" s="1">
        <v>50517.94</v>
      </c>
      <c r="F90" s="1">
        <v>7024</v>
      </c>
      <c r="G90" s="1">
        <v>2.9000000000000001E-2</v>
      </c>
      <c r="H90" s="1">
        <v>18</v>
      </c>
      <c r="I90" s="1">
        <v>79.2</v>
      </c>
      <c r="J90" s="1">
        <v>6.61</v>
      </c>
      <c r="K90" s="1">
        <v>1</v>
      </c>
      <c r="L90" s="1">
        <v>4.0999999999999996</v>
      </c>
      <c r="M90" s="1">
        <v>711213.46</v>
      </c>
      <c r="N90" s="1">
        <v>105863.26</v>
      </c>
    </row>
    <row r="91" spans="1:14">
      <c r="A91" s="1" t="s">
        <v>44</v>
      </c>
      <c r="B91" s="3">
        <v>45689</v>
      </c>
      <c r="C91" s="1" t="s">
        <v>24</v>
      </c>
      <c r="D91" s="1" t="s">
        <v>28</v>
      </c>
      <c r="E91" s="1">
        <v>141540.29</v>
      </c>
      <c r="F91" s="1">
        <v>5400</v>
      </c>
      <c r="G91" s="1">
        <v>1.2999999999999999E-2</v>
      </c>
      <c r="H91" s="1">
        <v>12</v>
      </c>
      <c r="I91" s="1">
        <v>87</v>
      </c>
      <c r="J91" s="1">
        <v>4.26</v>
      </c>
      <c r="K91" s="1">
        <v>0</v>
      </c>
      <c r="L91" s="1">
        <v>4.5</v>
      </c>
      <c r="M91" s="1">
        <v>627171.9</v>
      </c>
      <c r="N91" s="1">
        <v>105772.75</v>
      </c>
    </row>
    <row r="92" spans="1:14">
      <c r="A92" s="1" t="s">
        <v>44</v>
      </c>
      <c r="B92" s="3">
        <v>45717</v>
      </c>
      <c r="C92" s="1" t="s">
        <v>24</v>
      </c>
      <c r="D92" s="1" t="s">
        <v>28</v>
      </c>
      <c r="E92" s="1">
        <v>82116.19</v>
      </c>
      <c r="F92" s="1">
        <v>5988</v>
      </c>
      <c r="G92" s="1">
        <v>0.04</v>
      </c>
      <c r="H92" s="1">
        <v>17</v>
      </c>
      <c r="I92" s="1">
        <v>91.8</v>
      </c>
      <c r="J92" s="1">
        <v>5.75</v>
      </c>
      <c r="K92" s="1">
        <v>0</v>
      </c>
      <c r="L92" s="1">
        <v>4.7</v>
      </c>
      <c r="M92" s="1">
        <v>739852.58</v>
      </c>
      <c r="N92" s="1">
        <v>129386.43</v>
      </c>
    </row>
    <row r="93" spans="1:14">
      <c r="A93" s="1" t="s">
        <v>44</v>
      </c>
      <c r="B93" s="3">
        <v>45748</v>
      </c>
      <c r="C93" s="1" t="s">
        <v>24</v>
      </c>
      <c r="D93" s="1" t="s">
        <v>28</v>
      </c>
      <c r="E93" s="1">
        <v>31207.51</v>
      </c>
      <c r="F93" s="1">
        <v>3701</v>
      </c>
      <c r="G93" s="1">
        <v>4.2999999999999997E-2</v>
      </c>
      <c r="H93" s="1">
        <v>11</v>
      </c>
      <c r="I93" s="1">
        <v>84.7</v>
      </c>
      <c r="J93" s="1">
        <v>0.33</v>
      </c>
      <c r="K93" s="1">
        <v>0</v>
      </c>
      <c r="L93" s="1">
        <v>4.3</v>
      </c>
      <c r="M93" s="1">
        <v>586307.22</v>
      </c>
      <c r="N93" s="1">
        <v>73927.850000000006</v>
      </c>
    </row>
    <row r="94" spans="1:14">
      <c r="A94" s="1" t="s">
        <v>45</v>
      </c>
      <c r="B94" s="3">
        <v>45658</v>
      </c>
      <c r="C94" s="1" t="s">
        <v>27</v>
      </c>
      <c r="D94" s="1" t="s">
        <v>16</v>
      </c>
      <c r="E94" s="1">
        <v>38966.589999999997</v>
      </c>
      <c r="F94" s="1">
        <v>4509</v>
      </c>
      <c r="G94" s="1">
        <v>0.19400000000000001</v>
      </c>
      <c r="H94" s="1">
        <v>14</v>
      </c>
      <c r="I94" s="1">
        <v>91.1</v>
      </c>
      <c r="J94" s="1">
        <v>2.92</v>
      </c>
      <c r="K94" s="1">
        <v>0</v>
      </c>
      <c r="L94" s="1">
        <v>4.5999999999999996</v>
      </c>
      <c r="M94" s="1">
        <v>585937.48</v>
      </c>
      <c r="N94" s="1">
        <v>82624.2</v>
      </c>
    </row>
    <row r="95" spans="1:14">
      <c r="A95" s="1" t="s">
        <v>45</v>
      </c>
      <c r="B95" s="3">
        <v>45689</v>
      </c>
      <c r="C95" s="1" t="s">
        <v>27</v>
      </c>
      <c r="D95" s="1" t="s">
        <v>16</v>
      </c>
      <c r="E95" s="1">
        <v>67439.3</v>
      </c>
      <c r="F95" s="1">
        <v>6477</v>
      </c>
      <c r="G95" s="1">
        <v>0</v>
      </c>
      <c r="H95" s="1">
        <v>16</v>
      </c>
      <c r="I95" s="1">
        <v>90.9</v>
      </c>
      <c r="J95" s="1">
        <v>1.64</v>
      </c>
      <c r="K95" s="1">
        <v>0</v>
      </c>
      <c r="L95" s="1">
        <v>4.5</v>
      </c>
      <c r="M95" s="1">
        <v>753473.55</v>
      </c>
      <c r="N95" s="1">
        <v>151527.22</v>
      </c>
    </row>
    <row r="96" spans="1:14">
      <c r="A96" s="1" t="s">
        <v>45</v>
      </c>
      <c r="B96" s="3">
        <v>45717</v>
      </c>
      <c r="C96" s="1" t="s">
        <v>27</v>
      </c>
      <c r="D96" s="1" t="s">
        <v>16</v>
      </c>
      <c r="E96" s="1">
        <v>86421.88</v>
      </c>
      <c r="F96" s="1">
        <v>7970</v>
      </c>
      <c r="G96" s="1">
        <v>7.2999999999999995E-2</v>
      </c>
      <c r="H96" s="1">
        <v>17</v>
      </c>
      <c r="I96" s="1">
        <v>91.3</v>
      </c>
      <c r="J96" s="1">
        <v>0.8</v>
      </c>
      <c r="K96" s="1">
        <v>0</v>
      </c>
      <c r="L96" s="1">
        <v>5</v>
      </c>
      <c r="M96" s="1">
        <v>838250.32</v>
      </c>
      <c r="N96" s="1">
        <v>122939.34</v>
      </c>
    </row>
    <row r="97" spans="1:14">
      <c r="A97" s="1" t="s">
        <v>45</v>
      </c>
      <c r="B97" s="3">
        <v>45748</v>
      </c>
      <c r="C97" s="1" t="s">
        <v>27</v>
      </c>
      <c r="D97" s="1" t="s">
        <v>16</v>
      </c>
      <c r="E97" s="1">
        <v>9534.65</v>
      </c>
      <c r="F97" s="1">
        <v>6057</v>
      </c>
      <c r="G97" s="1">
        <v>7.3999999999999996E-2</v>
      </c>
      <c r="H97" s="1">
        <v>15</v>
      </c>
      <c r="I97" s="1">
        <v>94.1</v>
      </c>
      <c r="J97" s="1">
        <v>5.79</v>
      </c>
      <c r="K97" s="1">
        <v>0</v>
      </c>
      <c r="L97" s="1">
        <v>4.5</v>
      </c>
      <c r="M97" s="1">
        <v>607898.12</v>
      </c>
      <c r="N97" s="1">
        <v>135404.85</v>
      </c>
    </row>
    <row r="98" spans="1:14">
      <c r="A98" s="1" t="s">
        <v>46</v>
      </c>
      <c r="B98" s="3">
        <v>45658</v>
      </c>
      <c r="C98" s="1" t="s">
        <v>27</v>
      </c>
      <c r="D98" s="1" t="s">
        <v>28</v>
      </c>
      <c r="E98" s="1">
        <v>61132.07</v>
      </c>
      <c r="F98" s="1">
        <v>6394</v>
      </c>
      <c r="G98" s="1">
        <v>0.16300000000000001</v>
      </c>
      <c r="H98" s="1">
        <v>19</v>
      </c>
      <c r="I98" s="1">
        <v>91</v>
      </c>
      <c r="J98" s="1">
        <v>19.600000000000001</v>
      </c>
      <c r="K98" s="1">
        <v>0</v>
      </c>
      <c r="L98" s="1">
        <v>4.4000000000000004</v>
      </c>
      <c r="M98" s="1">
        <v>691113.62</v>
      </c>
      <c r="N98" s="1">
        <v>135145.44</v>
      </c>
    </row>
    <row r="99" spans="1:14">
      <c r="A99" s="1" t="s">
        <v>46</v>
      </c>
      <c r="B99" s="3">
        <v>45689</v>
      </c>
      <c r="C99" s="1" t="s">
        <v>27</v>
      </c>
      <c r="D99" s="1" t="s">
        <v>28</v>
      </c>
      <c r="E99" s="1">
        <v>78839.39</v>
      </c>
      <c r="F99" s="1">
        <v>5150</v>
      </c>
      <c r="G99" s="1">
        <v>0.17100000000000001</v>
      </c>
      <c r="H99" s="1">
        <v>13</v>
      </c>
      <c r="I99" s="1">
        <v>85.8</v>
      </c>
      <c r="J99" s="1">
        <v>7.57</v>
      </c>
      <c r="K99" s="1">
        <v>0</v>
      </c>
      <c r="L99" s="1">
        <v>4.3</v>
      </c>
      <c r="M99" s="1">
        <v>735509.4</v>
      </c>
      <c r="N99" s="1">
        <v>83895.96</v>
      </c>
    </row>
    <row r="100" spans="1:14">
      <c r="A100" s="1" t="s">
        <v>46</v>
      </c>
      <c r="B100" s="3">
        <v>45717</v>
      </c>
      <c r="C100" s="1" t="s">
        <v>27</v>
      </c>
      <c r="D100" s="1" t="s">
        <v>28</v>
      </c>
      <c r="E100" s="1">
        <v>38752.800000000003</v>
      </c>
      <c r="F100" s="1">
        <v>4712</v>
      </c>
      <c r="G100" s="1">
        <v>7.4999999999999997E-2</v>
      </c>
      <c r="H100" s="1">
        <v>15</v>
      </c>
      <c r="I100" s="1">
        <v>89.7</v>
      </c>
      <c r="J100" s="1">
        <v>3.36</v>
      </c>
      <c r="K100" s="1">
        <v>0</v>
      </c>
      <c r="L100" s="1">
        <v>4.3</v>
      </c>
      <c r="M100" s="1">
        <v>605775.32999999996</v>
      </c>
      <c r="N100" s="1">
        <v>107194.6</v>
      </c>
    </row>
    <row r="101" spans="1:14">
      <c r="A101" s="1" t="s">
        <v>46</v>
      </c>
      <c r="B101" s="3">
        <v>45748</v>
      </c>
      <c r="C101" s="1" t="s">
        <v>27</v>
      </c>
      <c r="D101" s="1" t="s">
        <v>28</v>
      </c>
      <c r="E101" s="1">
        <v>55101.1</v>
      </c>
      <c r="F101" s="1">
        <v>5281</v>
      </c>
      <c r="G101" s="1">
        <v>0.189</v>
      </c>
      <c r="H101" s="1">
        <v>11</v>
      </c>
      <c r="I101" s="1">
        <v>91</v>
      </c>
      <c r="J101" s="1">
        <v>2.7</v>
      </c>
      <c r="K101" s="1">
        <v>0</v>
      </c>
      <c r="L101" s="1">
        <v>4.4000000000000004</v>
      </c>
      <c r="M101" s="1">
        <v>675177.68</v>
      </c>
      <c r="N101" s="1">
        <v>105628.68</v>
      </c>
    </row>
    <row r="102" spans="1:14">
      <c r="A102" s="1" t="s">
        <v>47</v>
      </c>
      <c r="B102" s="3">
        <v>45658</v>
      </c>
      <c r="C102" s="1" t="s">
        <v>15</v>
      </c>
      <c r="D102" s="1" t="s">
        <v>28</v>
      </c>
      <c r="E102" s="1">
        <v>53084.76</v>
      </c>
      <c r="F102" s="1">
        <v>3642</v>
      </c>
      <c r="G102" s="1">
        <v>0.15</v>
      </c>
      <c r="H102" s="1">
        <v>12</v>
      </c>
      <c r="I102" s="1">
        <v>91.4</v>
      </c>
      <c r="J102" s="1">
        <v>0.2</v>
      </c>
      <c r="K102" s="1">
        <v>0</v>
      </c>
      <c r="L102" s="1">
        <v>4.4000000000000004</v>
      </c>
      <c r="M102" s="1">
        <v>635181.35</v>
      </c>
      <c r="N102" s="1">
        <v>83341.25</v>
      </c>
    </row>
    <row r="103" spans="1:14">
      <c r="A103" s="1" t="s">
        <v>47</v>
      </c>
      <c r="B103" s="3">
        <v>45689</v>
      </c>
      <c r="C103" s="1" t="s">
        <v>15</v>
      </c>
      <c r="D103" s="1" t="s">
        <v>28</v>
      </c>
      <c r="E103" s="1">
        <v>63101.59</v>
      </c>
      <c r="F103" s="1">
        <v>4373</v>
      </c>
      <c r="G103" s="1">
        <v>0.17299999999999999</v>
      </c>
      <c r="H103" s="1">
        <v>14</v>
      </c>
      <c r="I103" s="1">
        <v>90.4</v>
      </c>
      <c r="J103" s="1">
        <v>7.87</v>
      </c>
      <c r="K103" s="1">
        <v>0</v>
      </c>
      <c r="L103" s="1">
        <v>4.7</v>
      </c>
      <c r="M103" s="1">
        <v>586626.93999999994</v>
      </c>
      <c r="N103" s="1">
        <v>86498.55</v>
      </c>
    </row>
    <row r="104" spans="1:14">
      <c r="A104" s="1" t="s">
        <v>47</v>
      </c>
      <c r="B104" s="3">
        <v>45717</v>
      </c>
      <c r="C104" s="1" t="s">
        <v>15</v>
      </c>
      <c r="D104" s="1" t="s">
        <v>28</v>
      </c>
      <c r="E104" s="1">
        <v>90084.4</v>
      </c>
      <c r="F104" s="1">
        <v>6832</v>
      </c>
      <c r="G104" s="1">
        <v>0.185</v>
      </c>
      <c r="H104" s="1">
        <v>14</v>
      </c>
      <c r="I104" s="1">
        <v>80.5</v>
      </c>
      <c r="J104" s="1">
        <v>0.77</v>
      </c>
      <c r="K104" s="1">
        <v>1</v>
      </c>
      <c r="L104" s="1">
        <v>4.4000000000000004</v>
      </c>
      <c r="M104" s="1">
        <v>740102.64</v>
      </c>
      <c r="N104" s="1">
        <v>114299.07</v>
      </c>
    </row>
    <row r="105" spans="1:14">
      <c r="A105" s="1" t="s">
        <v>47</v>
      </c>
      <c r="B105" s="3">
        <v>45748</v>
      </c>
      <c r="C105" s="1" t="s">
        <v>15</v>
      </c>
      <c r="D105" s="1" t="s">
        <v>28</v>
      </c>
      <c r="E105" s="1">
        <v>32266.639999999999</v>
      </c>
      <c r="F105" s="1">
        <v>2414</v>
      </c>
      <c r="G105" s="1">
        <v>0.08</v>
      </c>
      <c r="H105" s="1">
        <v>7</v>
      </c>
      <c r="I105" s="1">
        <v>92.1</v>
      </c>
      <c r="J105" s="1">
        <v>1.48</v>
      </c>
      <c r="K105" s="1">
        <v>0</v>
      </c>
      <c r="L105" s="1">
        <v>5</v>
      </c>
      <c r="M105" s="1">
        <v>625514.04</v>
      </c>
      <c r="N105" s="1">
        <v>120685.08</v>
      </c>
    </row>
    <row r="106" spans="1:14">
      <c r="A106" s="1" t="s">
        <v>48</v>
      </c>
      <c r="B106" s="3">
        <v>45658</v>
      </c>
      <c r="C106" s="1" t="s">
        <v>27</v>
      </c>
      <c r="D106" s="1" t="s">
        <v>18</v>
      </c>
      <c r="E106" s="1">
        <v>57919.07</v>
      </c>
      <c r="F106" s="1">
        <v>7374</v>
      </c>
      <c r="G106" s="1">
        <v>0.10299999999999999</v>
      </c>
      <c r="H106" s="1">
        <v>21</v>
      </c>
      <c r="I106" s="1">
        <v>82.3</v>
      </c>
      <c r="J106" s="1">
        <v>2.87</v>
      </c>
      <c r="K106" s="1">
        <v>0</v>
      </c>
      <c r="L106" s="1">
        <v>2.9</v>
      </c>
      <c r="M106" s="1">
        <v>727227.2</v>
      </c>
      <c r="N106" s="1">
        <v>121292.01</v>
      </c>
    </row>
    <row r="107" spans="1:14">
      <c r="A107" s="1" t="s">
        <v>48</v>
      </c>
      <c r="B107" s="3">
        <v>45689</v>
      </c>
      <c r="C107" s="1" t="s">
        <v>27</v>
      </c>
      <c r="D107" s="1" t="s">
        <v>18</v>
      </c>
      <c r="E107" s="1">
        <v>74679.350000000006</v>
      </c>
      <c r="F107" s="1">
        <v>8739</v>
      </c>
      <c r="G107" s="1">
        <v>5.6000000000000001E-2</v>
      </c>
      <c r="H107" s="1">
        <v>21</v>
      </c>
      <c r="I107" s="1">
        <v>91.8</v>
      </c>
      <c r="J107" s="1">
        <v>2.83</v>
      </c>
      <c r="K107" s="1">
        <v>0</v>
      </c>
      <c r="L107" s="1">
        <v>3</v>
      </c>
      <c r="M107" s="1">
        <v>783797.89</v>
      </c>
      <c r="N107" s="1">
        <v>157620.70000000001</v>
      </c>
    </row>
    <row r="108" spans="1:14">
      <c r="A108" s="1" t="s">
        <v>48</v>
      </c>
      <c r="B108" s="3">
        <v>45717</v>
      </c>
      <c r="C108" s="1" t="s">
        <v>27</v>
      </c>
      <c r="D108" s="1" t="s">
        <v>18</v>
      </c>
      <c r="E108" s="1">
        <v>64294.23</v>
      </c>
      <c r="F108" s="1">
        <v>6992</v>
      </c>
      <c r="G108" s="1">
        <v>0.13300000000000001</v>
      </c>
      <c r="H108" s="1">
        <v>14</v>
      </c>
      <c r="I108" s="1">
        <v>94.1</v>
      </c>
      <c r="J108" s="1">
        <v>0.25</v>
      </c>
      <c r="K108" s="1">
        <v>0</v>
      </c>
      <c r="L108" s="1">
        <v>3</v>
      </c>
      <c r="M108" s="1">
        <v>795153.84</v>
      </c>
      <c r="N108" s="1">
        <v>143194.21</v>
      </c>
    </row>
    <row r="109" spans="1:14">
      <c r="A109" s="1" t="s">
        <v>48</v>
      </c>
      <c r="B109" s="3">
        <v>45748</v>
      </c>
      <c r="C109" s="1" t="s">
        <v>27</v>
      </c>
      <c r="D109" s="1" t="s">
        <v>18</v>
      </c>
      <c r="E109" s="1">
        <v>31042.03</v>
      </c>
      <c r="F109" s="1">
        <v>7107</v>
      </c>
      <c r="G109" s="1">
        <v>5.0999999999999997E-2</v>
      </c>
      <c r="H109" s="1">
        <v>15</v>
      </c>
      <c r="I109" s="1">
        <v>87</v>
      </c>
      <c r="J109" s="1">
        <v>13.33</v>
      </c>
      <c r="K109" s="1">
        <v>0</v>
      </c>
      <c r="L109" s="1">
        <v>3.2</v>
      </c>
      <c r="M109" s="1">
        <v>665594.93999999994</v>
      </c>
      <c r="N109" s="1">
        <v>127597.34</v>
      </c>
    </row>
    <row r="110" spans="1:14">
      <c r="A110" s="1" t="s">
        <v>49</v>
      </c>
      <c r="B110" s="3">
        <v>45658</v>
      </c>
      <c r="C110" s="1" t="s">
        <v>15</v>
      </c>
      <c r="D110" s="1" t="s">
        <v>28</v>
      </c>
      <c r="E110" s="1">
        <v>75265.02</v>
      </c>
      <c r="F110" s="1">
        <v>6975</v>
      </c>
      <c r="G110" s="1">
        <v>0.157</v>
      </c>
      <c r="H110" s="1">
        <v>20</v>
      </c>
      <c r="I110" s="1">
        <v>73.8</v>
      </c>
      <c r="J110" s="1">
        <v>6.35</v>
      </c>
      <c r="K110" s="1">
        <v>1</v>
      </c>
      <c r="L110" s="1">
        <v>3.8</v>
      </c>
      <c r="M110" s="1">
        <v>709478.39</v>
      </c>
      <c r="N110" s="1">
        <v>71294.27</v>
      </c>
    </row>
    <row r="111" spans="1:14">
      <c r="A111" s="1" t="s">
        <v>49</v>
      </c>
      <c r="B111" s="3">
        <v>45689</v>
      </c>
      <c r="C111" s="1" t="s">
        <v>15</v>
      </c>
      <c r="D111" s="1" t="s">
        <v>28</v>
      </c>
      <c r="E111" s="1">
        <v>69411.7</v>
      </c>
      <c r="F111" s="1">
        <v>5493</v>
      </c>
      <c r="G111" s="1">
        <v>0.29199999999999998</v>
      </c>
      <c r="H111" s="1">
        <v>13</v>
      </c>
      <c r="I111" s="1">
        <v>86.5</v>
      </c>
      <c r="J111" s="1">
        <v>6.69</v>
      </c>
      <c r="K111" s="1">
        <v>0</v>
      </c>
      <c r="L111" s="1">
        <v>3.8</v>
      </c>
      <c r="M111" s="1">
        <v>664162.49</v>
      </c>
      <c r="N111" s="1">
        <v>98291.06</v>
      </c>
    </row>
    <row r="112" spans="1:14">
      <c r="A112" s="1" t="s">
        <v>49</v>
      </c>
      <c r="B112" s="3">
        <v>45717</v>
      </c>
      <c r="C112" s="1" t="s">
        <v>15</v>
      </c>
      <c r="D112" s="1" t="s">
        <v>28</v>
      </c>
      <c r="E112" s="1">
        <v>51056.15</v>
      </c>
      <c r="F112" s="1">
        <v>5686</v>
      </c>
      <c r="G112" s="1">
        <v>8.8999999999999996E-2</v>
      </c>
      <c r="H112" s="1">
        <v>13</v>
      </c>
      <c r="I112" s="1">
        <v>89.9</v>
      </c>
      <c r="J112" s="1">
        <v>1.28</v>
      </c>
      <c r="K112" s="1">
        <v>0</v>
      </c>
      <c r="L112" s="1">
        <v>4.2</v>
      </c>
      <c r="M112" s="1">
        <v>633494.21</v>
      </c>
      <c r="N112" s="1">
        <v>105739.47</v>
      </c>
    </row>
    <row r="113" spans="1:14">
      <c r="A113" s="1" t="s">
        <v>49</v>
      </c>
      <c r="B113" s="3">
        <v>45748</v>
      </c>
      <c r="C113" s="1" t="s">
        <v>15</v>
      </c>
      <c r="D113" s="1" t="s">
        <v>28</v>
      </c>
      <c r="E113" s="1">
        <v>52758.01</v>
      </c>
      <c r="F113" s="1">
        <v>4063</v>
      </c>
      <c r="G113" s="1">
        <v>5.7000000000000002E-2</v>
      </c>
      <c r="H113" s="1">
        <v>12</v>
      </c>
      <c r="I113" s="1">
        <v>91.7</v>
      </c>
      <c r="J113" s="1">
        <v>0.92</v>
      </c>
      <c r="K113" s="1">
        <v>0</v>
      </c>
      <c r="L113" s="1">
        <v>3.5</v>
      </c>
      <c r="M113" s="1">
        <v>713611.16</v>
      </c>
      <c r="N113" s="1">
        <v>129717.18</v>
      </c>
    </row>
    <row r="114" spans="1:14">
      <c r="A114" s="1" t="s">
        <v>50</v>
      </c>
      <c r="B114" s="3">
        <v>45658</v>
      </c>
      <c r="C114" s="1" t="s">
        <v>27</v>
      </c>
      <c r="D114" s="1" t="s">
        <v>28</v>
      </c>
      <c r="E114" s="1">
        <v>61426.04</v>
      </c>
      <c r="F114" s="1">
        <v>8966</v>
      </c>
      <c r="G114" s="1">
        <v>0.17299999999999999</v>
      </c>
      <c r="H114" s="1">
        <v>22</v>
      </c>
      <c r="I114" s="1">
        <v>76.400000000000006</v>
      </c>
      <c r="J114" s="1">
        <v>1.05</v>
      </c>
      <c r="K114" s="1">
        <v>0</v>
      </c>
      <c r="L114" s="1">
        <v>3.1</v>
      </c>
      <c r="M114" s="1">
        <v>778397.97</v>
      </c>
      <c r="N114" s="1">
        <v>120044.41</v>
      </c>
    </row>
    <row r="115" spans="1:14">
      <c r="A115" s="1" t="s">
        <v>50</v>
      </c>
      <c r="B115" s="3">
        <v>45689</v>
      </c>
      <c r="C115" s="1" t="s">
        <v>27</v>
      </c>
      <c r="D115" s="1" t="s">
        <v>28</v>
      </c>
      <c r="E115" s="1">
        <v>80176.34</v>
      </c>
      <c r="F115" s="1">
        <v>9489</v>
      </c>
      <c r="G115" s="1">
        <v>0.14199999999999999</v>
      </c>
      <c r="H115" s="1">
        <v>22</v>
      </c>
      <c r="I115" s="1">
        <v>94.3</v>
      </c>
      <c r="J115" s="1">
        <v>2.67</v>
      </c>
      <c r="K115" s="1">
        <v>0</v>
      </c>
      <c r="L115" s="1">
        <v>3.5</v>
      </c>
      <c r="M115" s="1">
        <v>873380.02</v>
      </c>
      <c r="N115" s="1">
        <v>149734.76</v>
      </c>
    </row>
    <row r="116" spans="1:14">
      <c r="A116" s="1" t="s">
        <v>50</v>
      </c>
      <c r="B116" s="3">
        <v>45717</v>
      </c>
      <c r="C116" s="1" t="s">
        <v>27</v>
      </c>
      <c r="D116" s="1" t="s">
        <v>28</v>
      </c>
      <c r="E116" s="1">
        <v>33605.18</v>
      </c>
      <c r="F116" s="1">
        <v>9225</v>
      </c>
      <c r="G116" s="1">
        <v>0.159</v>
      </c>
      <c r="H116" s="1">
        <v>23</v>
      </c>
      <c r="I116" s="1">
        <v>88.4</v>
      </c>
      <c r="J116" s="1">
        <v>5.91</v>
      </c>
      <c r="K116" s="1">
        <v>0</v>
      </c>
      <c r="L116" s="1">
        <v>2.8</v>
      </c>
      <c r="M116" s="1">
        <v>697287.9</v>
      </c>
      <c r="N116" s="1">
        <v>128208.33</v>
      </c>
    </row>
    <row r="117" spans="1:14">
      <c r="A117" s="1" t="s">
        <v>50</v>
      </c>
      <c r="B117" s="3">
        <v>45748</v>
      </c>
      <c r="C117" s="1" t="s">
        <v>27</v>
      </c>
      <c r="D117" s="1" t="s">
        <v>28</v>
      </c>
      <c r="E117" s="1">
        <v>25990.54</v>
      </c>
      <c r="F117" s="1">
        <v>9249</v>
      </c>
      <c r="G117" s="1">
        <v>0.13900000000000001</v>
      </c>
      <c r="H117" s="1">
        <v>23</v>
      </c>
      <c r="I117" s="1">
        <v>92.5</v>
      </c>
      <c r="J117" s="1">
        <v>6.37</v>
      </c>
      <c r="K117" s="1">
        <v>0</v>
      </c>
      <c r="L117" s="1">
        <v>3.3</v>
      </c>
      <c r="M117" s="1">
        <v>718074.79</v>
      </c>
      <c r="N117" s="1">
        <v>115819.87</v>
      </c>
    </row>
    <row r="118" spans="1:14">
      <c r="A118" s="1" t="s">
        <v>51</v>
      </c>
      <c r="B118" s="3">
        <v>45658</v>
      </c>
      <c r="C118" s="1" t="s">
        <v>27</v>
      </c>
      <c r="D118" s="1" t="s">
        <v>16</v>
      </c>
      <c r="E118" s="1">
        <v>43685.14</v>
      </c>
      <c r="F118" s="1">
        <v>7821</v>
      </c>
      <c r="G118" s="1">
        <v>0.19</v>
      </c>
      <c r="H118" s="1">
        <v>17</v>
      </c>
      <c r="I118" s="1">
        <v>91</v>
      </c>
      <c r="J118" s="1">
        <v>2.4900000000000002</v>
      </c>
      <c r="K118" s="1">
        <v>1</v>
      </c>
      <c r="L118" s="1">
        <v>4.7</v>
      </c>
      <c r="M118" s="1">
        <v>714942.43</v>
      </c>
      <c r="N118" s="1">
        <v>94697.71</v>
      </c>
    </row>
    <row r="119" spans="1:14">
      <c r="A119" s="1" t="s">
        <v>51</v>
      </c>
      <c r="B119" s="3">
        <v>45689</v>
      </c>
      <c r="C119" s="1" t="s">
        <v>27</v>
      </c>
      <c r="D119" s="1" t="s">
        <v>16</v>
      </c>
      <c r="E119" s="1">
        <v>57360.01</v>
      </c>
      <c r="F119" s="1">
        <v>8434</v>
      </c>
      <c r="G119" s="1">
        <v>0.151</v>
      </c>
      <c r="H119" s="1">
        <v>19</v>
      </c>
      <c r="I119" s="1">
        <v>84.1</v>
      </c>
      <c r="J119" s="1">
        <v>1.56</v>
      </c>
      <c r="K119" s="1">
        <v>0</v>
      </c>
      <c r="L119" s="1">
        <v>4.7</v>
      </c>
      <c r="M119" s="1">
        <v>820519.04</v>
      </c>
      <c r="N119" s="1">
        <v>99035.88</v>
      </c>
    </row>
    <row r="120" spans="1:14">
      <c r="A120" s="1" t="s">
        <v>51</v>
      </c>
      <c r="B120" s="3">
        <v>45717</v>
      </c>
      <c r="C120" s="1" t="s">
        <v>27</v>
      </c>
      <c r="D120" s="1" t="s">
        <v>16</v>
      </c>
      <c r="E120" s="1">
        <v>42415.47</v>
      </c>
      <c r="F120" s="1">
        <v>8512</v>
      </c>
      <c r="G120" s="1">
        <v>0.13300000000000001</v>
      </c>
      <c r="H120" s="1">
        <v>18</v>
      </c>
      <c r="I120" s="1">
        <v>96.8</v>
      </c>
      <c r="J120" s="1">
        <v>14.95</v>
      </c>
      <c r="K120" s="1">
        <v>0</v>
      </c>
      <c r="L120" s="1">
        <v>4.5999999999999996</v>
      </c>
      <c r="M120" s="1">
        <v>684217.32</v>
      </c>
      <c r="N120" s="1">
        <v>136217.19</v>
      </c>
    </row>
    <row r="121" spans="1:14">
      <c r="A121" s="1" t="s">
        <v>51</v>
      </c>
      <c r="B121" s="3">
        <v>45748</v>
      </c>
      <c r="C121" s="1" t="s">
        <v>27</v>
      </c>
      <c r="D121" s="1" t="s">
        <v>16</v>
      </c>
      <c r="E121" s="1">
        <v>54968.98</v>
      </c>
      <c r="F121" s="1">
        <v>7816</v>
      </c>
      <c r="G121" s="1">
        <v>0.23200000000000001</v>
      </c>
      <c r="H121" s="1">
        <v>19</v>
      </c>
      <c r="I121" s="1">
        <v>95.7</v>
      </c>
      <c r="J121" s="1">
        <v>7.85</v>
      </c>
      <c r="K121" s="1">
        <v>0</v>
      </c>
      <c r="L121" s="1">
        <v>4.7</v>
      </c>
      <c r="M121" s="1">
        <v>735480.19</v>
      </c>
      <c r="N121" s="1">
        <v>88342.11</v>
      </c>
    </row>
    <row r="122" spans="1:14">
      <c r="A122" s="1" t="s">
        <v>52</v>
      </c>
      <c r="B122" s="3">
        <v>45658</v>
      </c>
      <c r="C122" s="1" t="s">
        <v>20</v>
      </c>
      <c r="D122" s="1" t="s">
        <v>18</v>
      </c>
      <c r="E122" s="1">
        <v>43896.13</v>
      </c>
      <c r="F122" s="1">
        <v>3853</v>
      </c>
      <c r="G122" s="1">
        <v>8.7999999999999995E-2</v>
      </c>
      <c r="H122" s="1">
        <v>13</v>
      </c>
      <c r="I122" s="1">
        <v>83</v>
      </c>
      <c r="J122" s="1">
        <v>6.8</v>
      </c>
      <c r="K122" s="1">
        <v>0</v>
      </c>
      <c r="L122" s="1">
        <v>4.4000000000000004</v>
      </c>
      <c r="M122" s="1">
        <v>509484.81</v>
      </c>
      <c r="N122" s="1">
        <v>85742.36</v>
      </c>
    </row>
    <row r="123" spans="1:14">
      <c r="A123" s="1" t="s">
        <v>52</v>
      </c>
      <c r="B123" s="3">
        <v>45689</v>
      </c>
      <c r="C123" s="1" t="s">
        <v>20</v>
      </c>
      <c r="D123" s="1" t="s">
        <v>18</v>
      </c>
      <c r="E123" s="1">
        <v>83044.17</v>
      </c>
      <c r="F123" s="1">
        <v>3694</v>
      </c>
      <c r="G123" s="1">
        <v>0</v>
      </c>
      <c r="H123" s="1">
        <v>14</v>
      </c>
      <c r="I123" s="1">
        <v>89.4</v>
      </c>
      <c r="J123" s="1">
        <v>2.2000000000000002</v>
      </c>
      <c r="K123" s="1">
        <v>0</v>
      </c>
      <c r="L123" s="1">
        <v>3.7</v>
      </c>
      <c r="M123" s="1">
        <v>654317.09</v>
      </c>
      <c r="N123" s="1">
        <v>121446.89</v>
      </c>
    </row>
    <row r="124" spans="1:14">
      <c r="A124" s="1" t="s">
        <v>52</v>
      </c>
      <c r="B124" s="3">
        <v>45717</v>
      </c>
      <c r="C124" s="1" t="s">
        <v>20</v>
      </c>
      <c r="D124" s="1" t="s">
        <v>18</v>
      </c>
      <c r="E124" s="1">
        <v>48396.13</v>
      </c>
      <c r="F124" s="1">
        <v>4423</v>
      </c>
      <c r="G124" s="1">
        <v>6.9000000000000006E-2</v>
      </c>
      <c r="H124" s="1">
        <v>15</v>
      </c>
      <c r="I124" s="1">
        <v>85.7</v>
      </c>
      <c r="J124" s="1">
        <v>1.88</v>
      </c>
      <c r="K124" s="1">
        <v>0</v>
      </c>
      <c r="L124" s="1">
        <v>3.9</v>
      </c>
      <c r="M124" s="1">
        <v>557487.26</v>
      </c>
      <c r="N124" s="1">
        <v>76432.19</v>
      </c>
    </row>
    <row r="125" spans="1:14">
      <c r="A125" s="1" t="s">
        <v>52</v>
      </c>
      <c r="B125" s="3">
        <v>45748</v>
      </c>
      <c r="C125" s="1" t="s">
        <v>20</v>
      </c>
      <c r="D125" s="1" t="s">
        <v>18</v>
      </c>
      <c r="E125" s="1">
        <v>19063.48</v>
      </c>
      <c r="F125" s="1">
        <v>1906</v>
      </c>
      <c r="G125" s="1">
        <v>0.216</v>
      </c>
      <c r="H125" s="1">
        <v>10</v>
      </c>
      <c r="I125" s="1">
        <v>97.8</v>
      </c>
      <c r="J125" s="1">
        <v>15.79</v>
      </c>
      <c r="K125" s="1">
        <v>0</v>
      </c>
      <c r="L125" s="1">
        <v>4.4000000000000004</v>
      </c>
      <c r="M125" s="1">
        <v>441275.42</v>
      </c>
      <c r="N125" s="1">
        <v>58234.87</v>
      </c>
    </row>
    <row r="126" spans="1:14">
      <c r="A126" s="1" t="s">
        <v>53</v>
      </c>
      <c r="B126" s="3">
        <v>45658</v>
      </c>
      <c r="C126" s="1" t="s">
        <v>24</v>
      </c>
      <c r="D126" s="1" t="s">
        <v>18</v>
      </c>
      <c r="E126" s="1">
        <v>61541.21</v>
      </c>
      <c r="F126" s="1">
        <v>10396</v>
      </c>
      <c r="G126" s="1">
        <v>0.123</v>
      </c>
      <c r="H126" s="1">
        <v>25</v>
      </c>
      <c r="I126" s="1">
        <v>88.1</v>
      </c>
      <c r="J126" s="1">
        <v>2.34</v>
      </c>
      <c r="K126" s="1">
        <v>1</v>
      </c>
      <c r="L126" s="1">
        <v>4.8</v>
      </c>
      <c r="M126" s="1">
        <v>914544.17</v>
      </c>
      <c r="N126" s="1">
        <v>79831.73</v>
      </c>
    </row>
    <row r="127" spans="1:14">
      <c r="A127" s="1" t="s">
        <v>53</v>
      </c>
      <c r="B127" s="3">
        <v>45689</v>
      </c>
      <c r="C127" s="1" t="s">
        <v>24</v>
      </c>
      <c r="D127" s="1" t="s">
        <v>18</v>
      </c>
      <c r="E127" s="1">
        <v>44747</v>
      </c>
      <c r="F127" s="1">
        <v>11076</v>
      </c>
      <c r="G127" s="1">
        <v>0.17599999999999999</v>
      </c>
      <c r="H127" s="1">
        <v>27</v>
      </c>
      <c r="I127" s="1">
        <v>98.3</v>
      </c>
      <c r="J127" s="1">
        <v>0.54</v>
      </c>
      <c r="K127" s="1">
        <v>0</v>
      </c>
      <c r="L127" s="1">
        <v>4.4000000000000004</v>
      </c>
      <c r="M127" s="1">
        <v>842439.67</v>
      </c>
      <c r="N127" s="1">
        <v>169983.63</v>
      </c>
    </row>
    <row r="128" spans="1:14">
      <c r="A128" s="1" t="s">
        <v>53</v>
      </c>
      <c r="B128" s="3">
        <v>45717</v>
      </c>
      <c r="C128" s="1" t="s">
        <v>24</v>
      </c>
      <c r="D128" s="1" t="s">
        <v>18</v>
      </c>
      <c r="E128" s="1">
        <v>56517.9</v>
      </c>
      <c r="F128" s="1">
        <v>9574</v>
      </c>
      <c r="G128" s="1">
        <v>0.20399999999999999</v>
      </c>
      <c r="H128" s="1">
        <v>20</v>
      </c>
      <c r="I128" s="1">
        <v>88.2</v>
      </c>
      <c r="J128" s="1">
        <v>5.37</v>
      </c>
      <c r="K128" s="1">
        <v>1</v>
      </c>
      <c r="L128" s="1">
        <v>4.9000000000000004</v>
      </c>
      <c r="M128" s="1">
        <v>842157.92</v>
      </c>
      <c r="N128" s="1">
        <v>107348.22</v>
      </c>
    </row>
    <row r="129" spans="1:14">
      <c r="A129" s="1" t="s">
        <v>53</v>
      </c>
      <c r="B129" s="3">
        <v>45748</v>
      </c>
      <c r="C129" s="1" t="s">
        <v>24</v>
      </c>
      <c r="D129" s="1" t="s">
        <v>18</v>
      </c>
      <c r="E129" s="1">
        <v>37828.5</v>
      </c>
      <c r="F129" s="1">
        <v>8221</v>
      </c>
      <c r="G129" s="1">
        <v>9.6000000000000002E-2</v>
      </c>
      <c r="H129" s="1">
        <v>19</v>
      </c>
      <c r="I129" s="1">
        <v>81.5</v>
      </c>
      <c r="J129" s="1">
        <v>3.19</v>
      </c>
      <c r="K129" s="1">
        <v>0</v>
      </c>
      <c r="L129" s="1">
        <v>4.8</v>
      </c>
      <c r="M129" s="1">
        <v>697155.3</v>
      </c>
      <c r="N129" s="1">
        <v>136408.54</v>
      </c>
    </row>
    <row r="130" spans="1:14">
      <c r="A130" s="1" t="s">
        <v>54</v>
      </c>
      <c r="B130" s="3">
        <v>45658</v>
      </c>
      <c r="C130" s="1" t="s">
        <v>15</v>
      </c>
      <c r="D130" s="1" t="s">
        <v>18</v>
      </c>
      <c r="E130" s="1">
        <v>66250.53</v>
      </c>
      <c r="F130" s="1">
        <v>10618</v>
      </c>
      <c r="G130" s="1">
        <v>0.14199999999999999</v>
      </c>
      <c r="H130" s="1">
        <v>27</v>
      </c>
      <c r="I130" s="1">
        <v>88.3</v>
      </c>
      <c r="J130" s="1">
        <v>1.1000000000000001</v>
      </c>
      <c r="K130" s="1">
        <v>1</v>
      </c>
      <c r="L130" s="1">
        <v>4.4000000000000004</v>
      </c>
      <c r="M130" s="1">
        <v>849018.3</v>
      </c>
      <c r="N130" s="1">
        <v>149035.13</v>
      </c>
    </row>
    <row r="131" spans="1:14">
      <c r="A131" s="1" t="s">
        <v>54</v>
      </c>
      <c r="B131" s="3">
        <v>45689</v>
      </c>
      <c r="C131" s="1" t="s">
        <v>15</v>
      </c>
      <c r="D131" s="1" t="s">
        <v>18</v>
      </c>
      <c r="E131" s="1">
        <v>68410.929999999993</v>
      </c>
      <c r="F131" s="1">
        <v>10596</v>
      </c>
      <c r="G131" s="1">
        <v>0.20699999999999999</v>
      </c>
      <c r="H131" s="1">
        <v>25</v>
      </c>
      <c r="I131" s="1">
        <v>81.2</v>
      </c>
      <c r="J131" s="1">
        <v>0.21</v>
      </c>
      <c r="K131" s="1">
        <v>0</v>
      </c>
      <c r="L131" s="1">
        <v>4</v>
      </c>
      <c r="M131" s="1">
        <v>801830.35</v>
      </c>
      <c r="N131" s="1">
        <v>114875.32</v>
      </c>
    </row>
    <row r="132" spans="1:14">
      <c r="A132" s="1" t="s">
        <v>54</v>
      </c>
      <c r="B132" s="3">
        <v>45717</v>
      </c>
      <c r="C132" s="1" t="s">
        <v>15</v>
      </c>
      <c r="D132" s="1" t="s">
        <v>18</v>
      </c>
      <c r="E132" s="1">
        <v>50735.63</v>
      </c>
      <c r="F132" s="1">
        <v>9619</v>
      </c>
      <c r="G132" s="1">
        <v>0.14399999999999999</v>
      </c>
      <c r="H132" s="1">
        <v>19</v>
      </c>
      <c r="I132" s="1">
        <v>93.8</v>
      </c>
      <c r="J132" s="1">
        <v>5.12</v>
      </c>
      <c r="K132" s="1">
        <v>1</v>
      </c>
      <c r="L132" s="1">
        <v>4.5</v>
      </c>
      <c r="M132" s="1">
        <v>725235.28</v>
      </c>
      <c r="N132" s="1">
        <v>121632.24</v>
      </c>
    </row>
    <row r="133" spans="1:14">
      <c r="A133" s="1" t="s">
        <v>54</v>
      </c>
      <c r="B133" s="3">
        <v>45748</v>
      </c>
      <c r="C133" s="1" t="s">
        <v>15</v>
      </c>
      <c r="D133" s="1" t="s">
        <v>18</v>
      </c>
      <c r="E133" s="1">
        <v>66455.8</v>
      </c>
      <c r="F133" s="1">
        <v>10836</v>
      </c>
      <c r="G133" s="1">
        <v>8.8999999999999996E-2</v>
      </c>
      <c r="H133" s="1">
        <v>25</v>
      </c>
      <c r="I133" s="1">
        <v>85</v>
      </c>
      <c r="J133" s="1">
        <v>9.77</v>
      </c>
      <c r="K133" s="1">
        <v>0</v>
      </c>
      <c r="L133" s="1">
        <v>4.5</v>
      </c>
      <c r="M133" s="1">
        <v>811452.72</v>
      </c>
      <c r="N133" s="1">
        <v>131325.67000000001</v>
      </c>
    </row>
    <row r="134" spans="1:14">
      <c r="A134" s="1" t="s">
        <v>55</v>
      </c>
      <c r="B134" s="3">
        <v>45658</v>
      </c>
      <c r="C134" s="1" t="s">
        <v>20</v>
      </c>
      <c r="D134" s="1" t="s">
        <v>18</v>
      </c>
      <c r="E134" s="1">
        <v>70276.28</v>
      </c>
      <c r="F134" s="1">
        <v>3043</v>
      </c>
      <c r="G134" s="1">
        <v>7.9000000000000001E-2</v>
      </c>
      <c r="H134" s="1">
        <v>9</v>
      </c>
      <c r="I134" s="1">
        <v>87.9</v>
      </c>
      <c r="J134" s="1">
        <v>3.77</v>
      </c>
      <c r="K134" s="1">
        <v>0</v>
      </c>
      <c r="L134" s="1">
        <v>4.4000000000000004</v>
      </c>
      <c r="M134" s="1">
        <v>527300.13</v>
      </c>
      <c r="N134" s="1">
        <v>84197.87</v>
      </c>
    </row>
    <row r="135" spans="1:14">
      <c r="A135" s="1" t="s">
        <v>55</v>
      </c>
      <c r="B135" s="3">
        <v>45689</v>
      </c>
      <c r="C135" s="1" t="s">
        <v>20</v>
      </c>
      <c r="D135" s="1" t="s">
        <v>18</v>
      </c>
      <c r="E135" s="1">
        <v>22071.64</v>
      </c>
      <c r="F135" s="1">
        <v>1814</v>
      </c>
      <c r="G135" s="1">
        <v>0.19600000000000001</v>
      </c>
      <c r="H135" s="1">
        <v>8</v>
      </c>
      <c r="I135" s="1">
        <v>81.099999999999994</v>
      </c>
      <c r="J135" s="1">
        <v>0.78</v>
      </c>
      <c r="K135" s="1">
        <v>0</v>
      </c>
      <c r="L135" s="1">
        <v>3.92</v>
      </c>
      <c r="M135" s="1">
        <v>400831.65</v>
      </c>
      <c r="N135" s="1">
        <v>70979.31</v>
      </c>
    </row>
    <row r="136" spans="1:14">
      <c r="A136" s="1" t="s">
        <v>55</v>
      </c>
      <c r="B136" s="3">
        <v>45717</v>
      </c>
      <c r="C136" s="1" t="s">
        <v>20</v>
      </c>
      <c r="D136" s="1" t="s">
        <v>18</v>
      </c>
      <c r="E136" s="1">
        <v>52285.45</v>
      </c>
      <c r="F136" s="1">
        <v>3618</v>
      </c>
      <c r="G136" s="1">
        <v>8.5999999999999993E-2</v>
      </c>
      <c r="H136" s="1">
        <v>11</v>
      </c>
      <c r="I136" s="1">
        <v>95.6</v>
      </c>
      <c r="J136" s="1">
        <v>5.17</v>
      </c>
      <c r="K136" s="1">
        <v>1</v>
      </c>
      <c r="L136" s="1">
        <v>4.4000000000000004</v>
      </c>
      <c r="M136" s="1">
        <v>593247.25</v>
      </c>
      <c r="N136" s="1">
        <v>81240.289999999994</v>
      </c>
    </row>
    <row r="137" spans="1:14">
      <c r="A137" s="1" t="s">
        <v>55</v>
      </c>
      <c r="B137" s="3">
        <v>45748</v>
      </c>
      <c r="C137" s="1" t="s">
        <v>20</v>
      </c>
      <c r="D137" s="1" t="s">
        <v>18</v>
      </c>
      <c r="E137" s="1">
        <v>70366.759999999995</v>
      </c>
      <c r="F137" s="1">
        <v>1963</v>
      </c>
      <c r="G137" s="1">
        <v>0.182</v>
      </c>
      <c r="H137" s="1">
        <v>8</v>
      </c>
      <c r="I137" s="1">
        <v>89.8</v>
      </c>
      <c r="J137" s="1">
        <v>3.2</v>
      </c>
      <c r="K137" s="1">
        <v>0</v>
      </c>
      <c r="L137" s="1">
        <v>4.5999999999999996</v>
      </c>
      <c r="M137" s="1">
        <v>529075.94999999995</v>
      </c>
      <c r="N137" s="1">
        <v>95978.83</v>
      </c>
    </row>
    <row r="138" spans="1:14">
      <c r="A138" s="1" t="s">
        <v>56</v>
      </c>
      <c r="B138" s="3">
        <v>45658</v>
      </c>
      <c r="C138" s="1" t="s">
        <v>24</v>
      </c>
      <c r="D138" s="1" t="s">
        <v>16</v>
      </c>
      <c r="E138" s="1">
        <v>71320.66</v>
      </c>
      <c r="F138" s="1">
        <v>7888</v>
      </c>
      <c r="G138" s="1">
        <v>4.8000000000000001E-2</v>
      </c>
      <c r="H138" s="1">
        <v>20</v>
      </c>
      <c r="I138" s="1">
        <v>78.099999999999994</v>
      </c>
      <c r="J138" s="1">
        <v>3.4</v>
      </c>
      <c r="K138" s="1">
        <v>0</v>
      </c>
      <c r="L138" s="1">
        <v>3.92</v>
      </c>
      <c r="M138" s="1">
        <v>633638.03</v>
      </c>
      <c r="N138" s="1">
        <v>99402.01</v>
      </c>
    </row>
    <row r="139" spans="1:14">
      <c r="A139" s="1" t="s">
        <v>56</v>
      </c>
      <c r="B139" s="3">
        <v>45689</v>
      </c>
      <c r="C139" s="1" t="s">
        <v>24</v>
      </c>
      <c r="D139" s="1" t="s">
        <v>16</v>
      </c>
      <c r="E139" s="1">
        <v>75109.67</v>
      </c>
      <c r="F139" s="1">
        <v>6244</v>
      </c>
      <c r="G139" s="1">
        <v>7.9000000000000001E-2</v>
      </c>
      <c r="H139" s="1">
        <v>15</v>
      </c>
      <c r="I139" s="1">
        <v>96.3</v>
      </c>
      <c r="J139" s="1">
        <v>7.38</v>
      </c>
      <c r="K139" s="1">
        <v>0</v>
      </c>
      <c r="L139" s="1">
        <v>3.7</v>
      </c>
      <c r="M139" s="1">
        <v>743348.84</v>
      </c>
      <c r="N139" s="1">
        <v>104186.09</v>
      </c>
    </row>
    <row r="140" spans="1:14">
      <c r="A140" s="1" t="s">
        <v>56</v>
      </c>
      <c r="B140" s="3">
        <v>45717</v>
      </c>
      <c r="C140" s="1" t="s">
        <v>24</v>
      </c>
      <c r="D140" s="1" t="s">
        <v>16</v>
      </c>
      <c r="E140" s="1">
        <v>69779</v>
      </c>
      <c r="F140" s="1">
        <v>6544</v>
      </c>
      <c r="G140" s="1">
        <v>0.152</v>
      </c>
      <c r="H140" s="1">
        <v>18</v>
      </c>
      <c r="I140" s="1">
        <v>90.2</v>
      </c>
      <c r="J140" s="1">
        <v>0.85</v>
      </c>
      <c r="K140" s="1">
        <v>1</v>
      </c>
      <c r="L140" s="1">
        <v>3.3</v>
      </c>
      <c r="M140" s="1">
        <v>758827.64</v>
      </c>
      <c r="N140" s="1">
        <v>161439.48000000001</v>
      </c>
    </row>
    <row r="141" spans="1:14">
      <c r="A141" s="1" t="s">
        <v>56</v>
      </c>
      <c r="B141" s="3">
        <v>45748</v>
      </c>
      <c r="C141" s="1" t="s">
        <v>24</v>
      </c>
      <c r="D141" s="1" t="s">
        <v>16</v>
      </c>
      <c r="E141" s="1">
        <v>44211.95</v>
      </c>
      <c r="F141" s="1">
        <v>5465</v>
      </c>
      <c r="G141" s="1">
        <v>0.187</v>
      </c>
      <c r="H141" s="1">
        <v>12</v>
      </c>
      <c r="I141" s="1">
        <v>90</v>
      </c>
      <c r="J141" s="1">
        <v>2.89</v>
      </c>
      <c r="K141" s="1">
        <v>0</v>
      </c>
      <c r="L141" s="1">
        <v>3.6</v>
      </c>
      <c r="M141" s="1">
        <v>646559.71</v>
      </c>
      <c r="N141" s="1">
        <v>97981.75</v>
      </c>
    </row>
    <row r="142" spans="1:14">
      <c r="A142" s="1" t="s">
        <v>57</v>
      </c>
      <c r="B142" s="3">
        <v>45658</v>
      </c>
      <c r="C142" s="1" t="s">
        <v>27</v>
      </c>
      <c r="D142" s="1" t="s">
        <v>18</v>
      </c>
      <c r="E142" s="1">
        <v>51430.31</v>
      </c>
      <c r="F142" s="1">
        <v>6427</v>
      </c>
      <c r="G142" s="1">
        <v>0.23400000000000001</v>
      </c>
      <c r="H142" s="1">
        <v>14</v>
      </c>
      <c r="I142" s="1">
        <v>88.8</v>
      </c>
      <c r="J142" s="1">
        <v>0.77</v>
      </c>
      <c r="K142" s="1">
        <v>0</v>
      </c>
      <c r="L142" s="1">
        <v>4.0999999999999996</v>
      </c>
      <c r="M142" s="1">
        <v>715890.53</v>
      </c>
      <c r="N142" s="1">
        <v>109032.15</v>
      </c>
    </row>
    <row r="143" spans="1:14">
      <c r="A143" s="1" t="s">
        <v>57</v>
      </c>
      <c r="B143" s="3">
        <v>45689</v>
      </c>
      <c r="C143" s="1" t="s">
        <v>27</v>
      </c>
      <c r="D143" s="1" t="s">
        <v>18</v>
      </c>
      <c r="E143" s="1">
        <v>45706.49</v>
      </c>
      <c r="F143" s="1">
        <v>6704</v>
      </c>
      <c r="G143" s="1">
        <v>3.7999999999999999E-2</v>
      </c>
      <c r="H143" s="1">
        <v>15</v>
      </c>
      <c r="I143" s="1">
        <v>94.2</v>
      </c>
      <c r="J143" s="1">
        <v>2.92</v>
      </c>
      <c r="K143" s="1">
        <v>0</v>
      </c>
      <c r="L143" s="1">
        <v>4.2</v>
      </c>
      <c r="M143" s="1">
        <v>715097.57</v>
      </c>
      <c r="N143" s="1">
        <v>151875.85999999999</v>
      </c>
    </row>
    <row r="144" spans="1:14">
      <c r="A144" s="1" t="s">
        <v>57</v>
      </c>
      <c r="B144" s="3">
        <v>45717</v>
      </c>
      <c r="C144" s="1" t="s">
        <v>27</v>
      </c>
      <c r="D144" s="1" t="s">
        <v>18</v>
      </c>
      <c r="E144" s="1">
        <v>44034.6</v>
      </c>
      <c r="F144" s="1">
        <v>5645</v>
      </c>
      <c r="G144" s="1">
        <v>6.9000000000000006E-2</v>
      </c>
      <c r="H144" s="1">
        <v>18</v>
      </c>
      <c r="I144" s="1">
        <v>88.5</v>
      </c>
      <c r="J144" s="1">
        <v>3.07</v>
      </c>
      <c r="K144" s="1">
        <v>0</v>
      </c>
      <c r="L144" s="1">
        <v>3.8</v>
      </c>
      <c r="M144" s="1">
        <v>682639.28</v>
      </c>
      <c r="N144" s="1">
        <v>77557.53</v>
      </c>
    </row>
    <row r="145" spans="1:14">
      <c r="A145" s="1" t="s">
        <v>57</v>
      </c>
      <c r="B145" s="3">
        <v>45748</v>
      </c>
      <c r="C145" s="1" t="s">
        <v>27</v>
      </c>
      <c r="D145" s="1" t="s">
        <v>18</v>
      </c>
      <c r="E145" s="1">
        <v>50198.12</v>
      </c>
      <c r="F145" s="1">
        <v>6089</v>
      </c>
      <c r="G145" s="1">
        <v>0.182</v>
      </c>
      <c r="H145" s="1">
        <v>19</v>
      </c>
      <c r="I145" s="1">
        <v>94</v>
      </c>
      <c r="J145" s="1">
        <v>9.6999999999999993</v>
      </c>
      <c r="K145" s="1">
        <v>0</v>
      </c>
      <c r="L145" s="1">
        <v>3.9</v>
      </c>
      <c r="M145" s="1">
        <v>695098.51</v>
      </c>
      <c r="N145" s="1">
        <v>108192.75</v>
      </c>
    </row>
    <row r="146" spans="1:14">
      <c r="A146" s="1" t="s">
        <v>58</v>
      </c>
      <c r="B146" s="3">
        <v>45658</v>
      </c>
      <c r="C146" s="1" t="s">
        <v>20</v>
      </c>
      <c r="D146" s="1" t="s">
        <v>16</v>
      </c>
      <c r="E146" s="1">
        <v>70488.2</v>
      </c>
      <c r="F146" s="1">
        <v>4312</v>
      </c>
      <c r="G146" s="1">
        <v>0.16900000000000001</v>
      </c>
      <c r="H146" s="1">
        <v>12</v>
      </c>
      <c r="I146" s="1">
        <v>90.2</v>
      </c>
      <c r="J146" s="1">
        <v>3.71</v>
      </c>
      <c r="K146" s="1">
        <v>0</v>
      </c>
      <c r="L146" s="1">
        <v>3.2</v>
      </c>
      <c r="M146" s="1">
        <v>577732.56999999995</v>
      </c>
      <c r="N146" s="1">
        <v>93804.27</v>
      </c>
    </row>
    <row r="147" spans="1:14">
      <c r="A147" s="1" t="s">
        <v>58</v>
      </c>
      <c r="B147" s="3">
        <v>45689</v>
      </c>
      <c r="C147" s="1" t="s">
        <v>20</v>
      </c>
      <c r="D147" s="1" t="s">
        <v>16</v>
      </c>
      <c r="E147" s="1">
        <v>50909.27</v>
      </c>
      <c r="F147" s="1">
        <v>3152</v>
      </c>
      <c r="G147" s="1">
        <v>0.06</v>
      </c>
      <c r="H147" s="1">
        <v>13</v>
      </c>
      <c r="I147" s="1">
        <v>93.7</v>
      </c>
      <c r="J147" s="1">
        <v>10.79</v>
      </c>
      <c r="K147" s="1">
        <v>0</v>
      </c>
      <c r="L147" s="1">
        <v>3.5</v>
      </c>
      <c r="M147" s="1">
        <v>537058.32999999996</v>
      </c>
      <c r="N147" s="1">
        <v>93555.71</v>
      </c>
    </row>
    <row r="148" spans="1:14">
      <c r="A148" s="1" t="s">
        <v>58</v>
      </c>
      <c r="B148" s="3">
        <v>45717</v>
      </c>
      <c r="C148" s="1" t="s">
        <v>20</v>
      </c>
      <c r="D148" s="1" t="s">
        <v>16</v>
      </c>
      <c r="E148" s="1">
        <v>53351.7</v>
      </c>
      <c r="F148" s="1">
        <v>4259</v>
      </c>
      <c r="G148" s="1">
        <v>0.156</v>
      </c>
      <c r="H148" s="1">
        <v>15</v>
      </c>
      <c r="I148" s="1">
        <v>93.7</v>
      </c>
      <c r="J148" s="1">
        <v>6.03</v>
      </c>
      <c r="K148" s="1">
        <v>0</v>
      </c>
      <c r="L148" s="1">
        <v>3.4</v>
      </c>
      <c r="M148" s="1">
        <v>601568.87</v>
      </c>
      <c r="N148" s="1">
        <v>91634.82</v>
      </c>
    </row>
    <row r="149" spans="1:14">
      <c r="A149" s="1" t="s">
        <v>58</v>
      </c>
      <c r="B149" s="3">
        <v>45748</v>
      </c>
      <c r="C149" s="1" t="s">
        <v>20</v>
      </c>
      <c r="D149" s="1" t="s">
        <v>16</v>
      </c>
      <c r="E149" s="1">
        <v>60322.400000000001</v>
      </c>
      <c r="F149" s="1">
        <v>3350</v>
      </c>
      <c r="G149" s="1">
        <v>0.108</v>
      </c>
      <c r="H149" s="1">
        <v>12</v>
      </c>
      <c r="I149" s="1">
        <v>89.4</v>
      </c>
      <c r="J149" s="1">
        <v>4.92</v>
      </c>
      <c r="K149" s="1">
        <v>0</v>
      </c>
      <c r="L149" s="1">
        <v>3.4</v>
      </c>
      <c r="M149" s="1">
        <v>570964.84</v>
      </c>
      <c r="N149" s="1">
        <v>81331.070000000007</v>
      </c>
    </row>
    <row r="150" spans="1:14">
      <c r="A150" s="1" t="s">
        <v>59</v>
      </c>
      <c r="B150" s="3">
        <v>45658</v>
      </c>
      <c r="C150" s="1" t="s">
        <v>24</v>
      </c>
      <c r="D150" s="1" t="s">
        <v>28</v>
      </c>
      <c r="E150" s="1">
        <v>51575.68</v>
      </c>
      <c r="F150" s="1">
        <v>5329</v>
      </c>
      <c r="G150" s="1">
        <v>4.7E-2</v>
      </c>
      <c r="H150" s="1">
        <v>17</v>
      </c>
      <c r="I150" s="1">
        <v>88.1</v>
      </c>
      <c r="J150" s="1">
        <v>19.78</v>
      </c>
      <c r="K150" s="1">
        <v>0</v>
      </c>
      <c r="L150" s="1">
        <v>3.8</v>
      </c>
      <c r="M150" s="1">
        <v>614024.91</v>
      </c>
      <c r="N150" s="1">
        <v>84828.93</v>
      </c>
    </row>
    <row r="151" spans="1:14">
      <c r="A151" s="1" t="s">
        <v>59</v>
      </c>
      <c r="B151" s="3">
        <v>45689</v>
      </c>
      <c r="C151" s="1" t="s">
        <v>24</v>
      </c>
      <c r="D151" s="1" t="s">
        <v>28</v>
      </c>
      <c r="E151" s="1">
        <v>43319.94</v>
      </c>
      <c r="F151" s="1">
        <v>6551</v>
      </c>
      <c r="G151" s="1">
        <v>4.3999999999999997E-2</v>
      </c>
      <c r="H151" s="1">
        <v>13</v>
      </c>
      <c r="I151" s="1">
        <v>99</v>
      </c>
      <c r="J151" s="1">
        <v>5.45</v>
      </c>
      <c r="K151" s="1">
        <v>0</v>
      </c>
      <c r="L151" s="1">
        <v>4.0999999999999996</v>
      </c>
      <c r="M151" s="1">
        <v>712868.35</v>
      </c>
      <c r="N151" s="1">
        <v>133650.51</v>
      </c>
    </row>
    <row r="152" spans="1:14">
      <c r="A152" s="1" t="s">
        <v>59</v>
      </c>
      <c r="B152" s="3">
        <v>45717</v>
      </c>
      <c r="C152" s="1" t="s">
        <v>24</v>
      </c>
      <c r="D152" s="1" t="s">
        <v>28</v>
      </c>
      <c r="E152" s="1">
        <v>47093.55</v>
      </c>
      <c r="F152" s="1">
        <v>5550</v>
      </c>
      <c r="G152" s="1">
        <v>0.1</v>
      </c>
      <c r="H152" s="1">
        <v>12</v>
      </c>
      <c r="I152" s="1">
        <v>95</v>
      </c>
      <c r="J152" s="1">
        <v>2.33</v>
      </c>
      <c r="K152" s="1">
        <v>1</v>
      </c>
      <c r="L152" s="1">
        <v>3.7</v>
      </c>
      <c r="M152" s="1">
        <v>696744.15</v>
      </c>
      <c r="N152" s="1">
        <v>152230.09</v>
      </c>
    </row>
    <row r="153" spans="1:14">
      <c r="A153" s="1" t="s">
        <v>59</v>
      </c>
      <c r="B153" s="3">
        <v>45748</v>
      </c>
      <c r="C153" s="1" t="s">
        <v>24</v>
      </c>
      <c r="D153" s="1" t="s">
        <v>28</v>
      </c>
      <c r="E153" s="1">
        <v>71855.09</v>
      </c>
      <c r="F153" s="1">
        <v>5911</v>
      </c>
      <c r="G153" s="1">
        <v>0.19700000000000001</v>
      </c>
      <c r="H153" s="1">
        <v>15</v>
      </c>
      <c r="I153" s="1">
        <v>94.3</v>
      </c>
      <c r="J153" s="1">
        <v>3.55</v>
      </c>
      <c r="K153" s="1">
        <v>0</v>
      </c>
      <c r="L153" s="1">
        <v>4.0999999999999996</v>
      </c>
      <c r="M153" s="1">
        <v>725847.99</v>
      </c>
      <c r="N153" s="1">
        <v>122698.73</v>
      </c>
    </row>
    <row r="154" spans="1:14">
      <c r="A154" s="1" t="s">
        <v>60</v>
      </c>
      <c r="B154" s="3">
        <v>45658</v>
      </c>
      <c r="C154" s="1" t="s">
        <v>15</v>
      </c>
      <c r="D154" s="1" t="s">
        <v>18</v>
      </c>
      <c r="E154" s="1">
        <v>75645.23</v>
      </c>
      <c r="F154" s="1">
        <v>9674</v>
      </c>
      <c r="G154" s="1">
        <v>0.23400000000000001</v>
      </c>
      <c r="H154" s="1">
        <v>21</v>
      </c>
      <c r="I154" s="1">
        <v>87.4</v>
      </c>
      <c r="J154" s="1">
        <v>0.2</v>
      </c>
      <c r="K154" s="1">
        <v>0</v>
      </c>
      <c r="L154" s="1">
        <v>4.5</v>
      </c>
      <c r="M154" s="1">
        <v>785028.25</v>
      </c>
      <c r="N154" s="1">
        <v>110726.44</v>
      </c>
    </row>
    <row r="155" spans="1:14">
      <c r="A155" s="1" t="s">
        <v>60</v>
      </c>
      <c r="B155" s="3">
        <v>45689</v>
      </c>
      <c r="C155" s="1" t="s">
        <v>15</v>
      </c>
      <c r="D155" s="1" t="s">
        <v>18</v>
      </c>
      <c r="E155" s="1">
        <v>64374.75</v>
      </c>
      <c r="F155" s="1">
        <v>6740</v>
      </c>
      <c r="G155" s="1">
        <v>0.16900000000000001</v>
      </c>
      <c r="H155" s="1">
        <v>18</v>
      </c>
      <c r="I155" s="1">
        <v>87</v>
      </c>
      <c r="J155" s="1">
        <v>2.09</v>
      </c>
      <c r="K155" s="1">
        <v>0</v>
      </c>
      <c r="L155" s="1">
        <v>4.2</v>
      </c>
      <c r="M155" s="1">
        <v>698492.67</v>
      </c>
      <c r="N155" s="1">
        <v>117319.32</v>
      </c>
    </row>
    <row r="156" spans="1:14">
      <c r="A156" s="1" t="s">
        <v>60</v>
      </c>
      <c r="B156" s="3">
        <v>45717</v>
      </c>
      <c r="C156" s="1" t="s">
        <v>15</v>
      </c>
      <c r="D156" s="1" t="s">
        <v>18</v>
      </c>
      <c r="E156" s="1">
        <v>61433.84</v>
      </c>
      <c r="F156" s="1">
        <v>7745</v>
      </c>
      <c r="G156" s="1">
        <v>0.18</v>
      </c>
      <c r="H156" s="1">
        <v>16</v>
      </c>
      <c r="I156" s="1">
        <v>90.5</v>
      </c>
      <c r="J156" s="1">
        <v>2.2599999999999998</v>
      </c>
      <c r="K156" s="1">
        <v>0</v>
      </c>
      <c r="L156" s="1">
        <v>4.2</v>
      </c>
      <c r="M156" s="1">
        <v>685830.24</v>
      </c>
      <c r="N156" s="1">
        <v>128736.18</v>
      </c>
    </row>
    <row r="157" spans="1:14">
      <c r="A157" s="1" t="s">
        <v>60</v>
      </c>
      <c r="B157" s="3">
        <v>45748</v>
      </c>
      <c r="C157" s="1" t="s">
        <v>15</v>
      </c>
      <c r="D157" s="1" t="s">
        <v>18</v>
      </c>
      <c r="E157" s="1">
        <v>42698.14</v>
      </c>
      <c r="F157" s="1">
        <v>7693</v>
      </c>
      <c r="G157" s="1">
        <v>0.187</v>
      </c>
      <c r="H157" s="1">
        <v>19</v>
      </c>
      <c r="I157" s="1">
        <v>90.1</v>
      </c>
      <c r="J157" s="1">
        <v>0.44</v>
      </c>
      <c r="K157" s="1">
        <v>0</v>
      </c>
      <c r="L157" s="1">
        <v>4.4000000000000004</v>
      </c>
      <c r="M157" s="1">
        <v>702318.94</v>
      </c>
      <c r="N157" s="1">
        <v>112829.29</v>
      </c>
    </row>
    <row r="158" spans="1:14">
      <c r="A158" s="1" t="s">
        <v>61</v>
      </c>
      <c r="B158" s="3">
        <v>45658</v>
      </c>
      <c r="C158" s="1" t="s">
        <v>20</v>
      </c>
      <c r="D158" s="1" t="s">
        <v>28</v>
      </c>
      <c r="E158" s="1">
        <v>86883.31</v>
      </c>
      <c r="F158" s="1">
        <v>6424</v>
      </c>
      <c r="G158" s="1">
        <v>5.7000000000000002E-2</v>
      </c>
      <c r="H158" s="1">
        <v>19</v>
      </c>
      <c r="I158" s="1">
        <v>85.2</v>
      </c>
      <c r="J158" s="1">
        <v>3.08</v>
      </c>
      <c r="K158" s="1">
        <v>0</v>
      </c>
      <c r="L158" s="1">
        <v>3.9</v>
      </c>
      <c r="M158" s="1">
        <v>700078.32</v>
      </c>
      <c r="N158" s="1">
        <v>123707.58</v>
      </c>
    </row>
    <row r="159" spans="1:14">
      <c r="A159" s="1" t="s">
        <v>61</v>
      </c>
      <c r="B159" s="3">
        <v>45689</v>
      </c>
      <c r="C159" s="1" t="s">
        <v>20</v>
      </c>
      <c r="D159" s="1" t="s">
        <v>28</v>
      </c>
      <c r="E159" s="1">
        <v>41863.08</v>
      </c>
      <c r="F159" s="1">
        <v>5400</v>
      </c>
      <c r="G159" s="1">
        <v>0.114</v>
      </c>
      <c r="H159" s="1">
        <v>11</v>
      </c>
      <c r="I159" s="1">
        <v>91.6</v>
      </c>
      <c r="J159" s="1">
        <v>7.99</v>
      </c>
      <c r="K159" s="1">
        <v>0</v>
      </c>
      <c r="L159" s="1">
        <v>3</v>
      </c>
      <c r="M159" s="1">
        <v>602002.31999999995</v>
      </c>
      <c r="N159" s="1">
        <v>110453.28</v>
      </c>
    </row>
    <row r="160" spans="1:14">
      <c r="A160" s="1" t="s">
        <v>61</v>
      </c>
      <c r="B160" s="3">
        <v>45717</v>
      </c>
      <c r="C160" s="1" t="s">
        <v>20</v>
      </c>
      <c r="D160" s="1" t="s">
        <v>28</v>
      </c>
      <c r="E160" s="1">
        <v>56918.16</v>
      </c>
      <c r="F160" s="1">
        <v>7015</v>
      </c>
      <c r="G160" s="1">
        <v>0.158</v>
      </c>
      <c r="H160" s="1">
        <v>18</v>
      </c>
      <c r="I160" s="1">
        <v>74.2</v>
      </c>
      <c r="J160" s="1">
        <v>0.2</v>
      </c>
      <c r="K160" s="1">
        <v>0</v>
      </c>
      <c r="L160" s="1">
        <v>3.4</v>
      </c>
      <c r="M160" s="1">
        <v>724216.07</v>
      </c>
      <c r="N160" s="1">
        <v>100627.56</v>
      </c>
    </row>
    <row r="161" spans="1:14">
      <c r="A161" s="1" t="s">
        <v>61</v>
      </c>
      <c r="B161" s="3">
        <v>45748</v>
      </c>
      <c r="C161" s="1" t="s">
        <v>20</v>
      </c>
      <c r="D161" s="1" t="s">
        <v>28</v>
      </c>
      <c r="E161" s="1">
        <v>23254.57</v>
      </c>
      <c r="F161" s="1">
        <v>3847</v>
      </c>
      <c r="G161" s="1">
        <v>0.159</v>
      </c>
      <c r="H161" s="1">
        <v>12</v>
      </c>
      <c r="I161" s="1">
        <v>93</v>
      </c>
      <c r="J161" s="1">
        <v>5.46</v>
      </c>
      <c r="K161" s="1">
        <v>0</v>
      </c>
      <c r="L161" s="1">
        <v>3.3</v>
      </c>
      <c r="M161" s="1">
        <v>620973.03</v>
      </c>
      <c r="N161" s="1">
        <v>72303.850000000006</v>
      </c>
    </row>
    <row r="162" spans="1:14">
      <c r="A162" s="1" t="s">
        <v>62</v>
      </c>
      <c r="B162" s="3">
        <v>45658</v>
      </c>
      <c r="C162" s="1" t="s">
        <v>24</v>
      </c>
      <c r="D162" s="1" t="s">
        <v>18</v>
      </c>
      <c r="E162" s="1">
        <v>41443.410000000003</v>
      </c>
      <c r="F162" s="1">
        <v>7455</v>
      </c>
      <c r="G162" s="1">
        <v>0.17499999999999999</v>
      </c>
      <c r="H162" s="1">
        <v>16</v>
      </c>
      <c r="I162" s="1">
        <v>90.1</v>
      </c>
      <c r="J162" s="1">
        <v>4.05</v>
      </c>
      <c r="K162" s="1">
        <v>0</v>
      </c>
      <c r="L162" s="1">
        <v>4</v>
      </c>
      <c r="M162" s="1">
        <v>650480.06000000006</v>
      </c>
      <c r="N162" s="1">
        <v>109012.07</v>
      </c>
    </row>
    <row r="163" spans="1:14">
      <c r="A163" s="1" t="s">
        <v>62</v>
      </c>
      <c r="B163" s="3">
        <v>45689</v>
      </c>
      <c r="C163" s="1" t="s">
        <v>24</v>
      </c>
      <c r="D163" s="1" t="s">
        <v>18</v>
      </c>
      <c r="E163" s="1">
        <v>48438.85</v>
      </c>
      <c r="F163" s="1">
        <v>6992</v>
      </c>
      <c r="G163" s="1">
        <v>3.4000000000000002E-2</v>
      </c>
      <c r="H163" s="1">
        <v>20</v>
      </c>
      <c r="I163" s="1">
        <v>91</v>
      </c>
      <c r="J163" s="1">
        <v>4.3600000000000003</v>
      </c>
      <c r="K163" s="1">
        <v>0</v>
      </c>
      <c r="L163" s="1">
        <v>4.2</v>
      </c>
      <c r="M163" s="1">
        <v>778298.88</v>
      </c>
      <c r="N163" s="1">
        <v>130076.72</v>
      </c>
    </row>
    <row r="164" spans="1:14">
      <c r="A164" s="1" t="s">
        <v>62</v>
      </c>
      <c r="B164" s="3">
        <v>45717</v>
      </c>
      <c r="C164" s="1" t="s">
        <v>24</v>
      </c>
      <c r="D164" s="1" t="s">
        <v>18</v>
      </c>
      <c r="E164" s="1">
        <v>57143.3</v>
      </c>
      <c r="F164" s="1">
        <v>8038</v>
      </c>
      <c r="G164" s="1">
        <v>0.193</v>
      </c>
      <c r="H164" s="1">
        <v>17</v>
      </c>
      <c r="I164" s="1">
        <v>72.599999999999994</v>
      </c>
      <c r="J164" s="1">
        <v>3.36</v>
      </c>
      <c r="K164" s="1">
        <v>0</v>
      </c>
      <c r="L164" s="1">
        <v>4.2</v>
      </c>
      <c r="M164" s="1">
        <v>677096.71</v>
      </c>
      <c r="N164" s="1">
        <v>97174.11</v>
      </c>
    </row>
    <row r="165" spans="1:14">
      <c r="A165" s="1" t="s">
        <v>62</v>
      </c>
      <c r="B165" s="3">
        <v>45748</v>
      </c>
      <c r="C165" s="1" t="s">
        <v>24</v>
      </c>
      <c r="D165" s="1" t="s">
        <v>18</v>
      </c>
      <c r="E165" s="1">
        <v>66870.62</v>
      </c>
      <c r="F165" s="1">
        <v>6055</v>
      </c>
      <c r="G165" s="1">
        <v>7.4999999999999997E-2</v>
      </c>
      <c r="H165" s="1">
        <v>19</v>
      </c>
      <c r="I165" s="1">
        <v>93.8</v>
      </c>
      <c r="J165" s="1">
        <v>0.54</v>
      </c>
      <c r="K165" s="1">
        <v>0</v>
      </c>
      <c r="L165" s="1">
        <v>4.3</v>
      </c>
      <c r="M165" s="1">
        <v>692008.64</v>
      </c>
      <c r="N165" s="1">
        <v>116337.87</v>
      </c>
    </row>
    <row r="166" spans="1:14">
      <c r="A166" s="1" t="s">
        <v>63</v>
      </c>
      <c r="B166" s="3">
        <v>45658</v>
      </c>
      <c r="C166" s="1" t="s">
        <v>20</v>
      </c>
      <c r="D166" s="1" t="s">
        <v>28</v>
      </c>
      <c r="E166" s="1">
        <v>72150.53</v>
      </c>
      <c r="F166" s="1">
        <v>9323</v>
      </c>
      <c r="G166" s="1">
        <v>0.157</v>
      </c>
      <c r="H166" s="1">
        <v>22</v>
      </c>
      <c r="I166" s="1">
        <v>82.9</v>
      </c>
      <c r="J166" s="1">
        <v>11.37</v>
      </c>
      <c r="K166" s="1">
        <v>1</v>
      </c>
      <c r="L166" s="1">
        <v>4.3</v>
      </c>
      <c r="M166" s="1">
        <v>825797.91</v>
      </c>
      <c r="N166" s="1">
        <v>130945.24</v>
      </c>
    </row>
    <row r="167" spans="1:14">
      <c r="A167" s="1" t="s">
        <v>63</v>
      </c>
      <c r="B167" s="3">
        <v>45689</v>
      </c>
      <c r="C167" s="1" t="s">
        <v>20</v>
      </c>
      <c r="D167" s="1" t="s">
        <v>28</v>
      </c>
      <c r="E167" s="1">
        <v>35303.300000000003</v>
      </c>
      <c r="F167" s="1">
        <v>8789</v>
      </c>
      <c r="G167" s="1">
        <v>0.123</v>
      </c>
      <c r="H167" s="1">
        <v>22</v>
      </c>
      <c r="I167" s="1">
        <v>86.1</v>
      </c>
      <c r="J167" s="1">
        <v>9.43</v>
      </c>
      <c r="K167" s="1">
        <v>0</v>
      </c>
      <c r="L167" s="1">
        <v>4.2</v>
      </c>
      <c r="M167" s="1">
        <v>706285.52</v>
      </c>
      <c r="N167" s="1">
        <v>138014.72</v>
      </c>
    </row>
    <row r="168" spans="1:14">
      <c r="A168" s="1" t="s">
        <v>63</v>
      </c>
      <c r="B168" s="3">
        <v>45717</v>
      </c>
      <c r="C168" s="1" t="s">
        <v>20</v>
      </c>
      <c r="D168" s="1" t="s">
        <v>28</v>
      </c>
      <c r="E168" s="1">
        <v>30301.86</v>
      </c>
      <c r="F168" s="1">
        <v>6939</v>
      </c>
      <c r="G168" s="1">
        <v>0.09</v>
      </c>
      <c r="H168" s="1">
        <v>16</v>
      </c>
      <c r="I168" s="1">
        <v>90.3</v>
      </c>
      <c r="J168" s="1">
        <v>3.49</v>
      </c>
      <c r="K168" s="1">
        <v>0</v>
      </c>
      <c r="L168" s="1">
        <v>4</v>
      </c>
      <c r="M168" s="1">
        <v>665534.69999999995</v>
      </c>
      <c r="N168" s="1">
        <v>113167.73</v>
      </c>
    </row>
    <row r="169" spans="1:14">
      <c r="A169" s="1" t="s">
        <v>63</v>
      </c>
      <c r="B169" s="3">
        <v>45748</v>
      </c>
      <c r="C169" s="1" t="s">
        <v>20</v>
      </c>
      <c r="D169" s="1" t="s">
        <v>28</v>
      </c>
      <c r="E169" s="1">
        <v>78432.14</v>
      </c>
      <c r="F169" s="1">
        <v>9440</v>
      </c>
      <c r="G169" s="1">
        <v>0.126</v>
      </c>
      <c r="H169" s="1">
        <v>23</v>
      </c>
      <c r="I169" s="1">
        <v>89.2</v>
      </c>
      <c r="J169" s="1">
        <v>7.86</v>
      </c>
      <c r="K169" s="1">
        <v>0</v>
      </c>
      <c r="L169" s="1">
        <v>4.0999999999999996</v>
      </c>
      <c r="M169" s="1">
        <v>820729.29</v>
      </c>
      <c r="N169" s="1">
        <v>159325.47</v>
      </c>
    </row>
    <row r="170" spans="1:14">
      <c r="A170" s="1" t="s">
        <v>64</v>
      </c>
      <c r="B170" s="3">
        <v>45658</v>
      </c>
      <c r="C170" s="1" t="s">
        <v>15</v>
      </c>
      <c r="D170" s="1" t="s">
        <v>16</v>
      </c>
      <c r="E170" s="1">
        <v>62059.18</v>
      </c>
      <c r="F170" s="1">
        <v>9374</v>
      </c>
      <c r="G170" s="1">
        <v>0.13600000000000001</v>
      </c>
      <c r="H170" s="1">
        <v>25</v>
      </c>
      <c r="I170" s="1">
        <v>87.1</v>
      </c>
      <c r="J170" s="1">
        <v>12.55</v>
      </c>
      <c r="K170" s="1">
        <v>0</v>
      </c>
      <c r="L170" s="1">
        <v>4.9000000000000004</v>
      </c>
      <c r="M170" s="1">
        <v>739831.73</v>
      </c>
      <c r="N170" s="1">
        <v>119490.21</v>
      </c>
    </row>
    <row r="171" spans="1:14">
      <c r="A171" s="1" t="s">
        <v>64</v>
      </c>
      <c r="B171" s="3">
        <v>45689</v>
      </c>
      <c r="C171" s="1" t="s">
        <v>15</v>
      </c>
      <c r="D171" s="1" t="s">
        <v>16</v>
      </c>
      <c r="E171" s="1">
        <v>32834.480000000003</v>
      </c>
      <c r="F171" s="1">
        <v>7576</v>
      </c>
      <c r="G171" s="1">
        <v>9.9000000000000005E-2</v>
      </c>
      <c r="H171" s="1">
        <v>15</v>
      </c>
      <c r="I171" s="1">
        <v>84.1</v>
      </c>
      <c r="J171" s="1">
        <v>3.48</v>
      </c>
      <c r="K171" s="1">
        <v>0</v>
      </c>
      <c r="L171" s="1">
        <v>5</v>
      </c>
      <c r="M171" s="1">
        <v>593637.14</v>
      </c>
      <c r="N171" s="1">
        <v>106648.14</v>
      </c>
    </row>
    <row r="172" spans="1:14">
      <c r="A172" s="1" t="s">
        <v>64</v>
      </c>
      <c r="B172" s="3">
        <v>45717</v>
      </c>
      <c r="C172" s="1" t="s">
        <v>15</v>
      </c>
      <c r="D172" s="1" t="s">
        <v>16</v>
      </c>
      <c r="E172" s="1">
        <v>50825.08</v>
      </c>
      <c r="F172" s="1">
        <v>8949</v>
      </c>
      <c r="G172" s="1">
        <v>0.157</v>
      </c>
      <c r="H172" s="1">
        <v>21</v>
      </c>
      <c r="I172" s="1">
        <v>84.7</v>
      </c>
      <c r="J172" s="1">
        <v>7.73</v>
      </c>
      <c r="K172" s="1">
        <v>0</v>
      </c>
      <c r="L172" s="1">
        <v>4.9000000000000004</v>
      </c>
      <c r="M172" s="1">
        <v>769702.76</v>
      </c>
      <c r="N172" s="1">
        <v>158697</v>
      </c>
    </row>
    <row r="173" spans="1:14">
      <c r="A173" s="1" t="s">
        <v>64</v>
      </c>
      <c r="B173" s="3">
        <v>45748</v>
      </c>
      <c r="C173" s="1" t="s">
        <v>15</v>
      </c>
      <c r="D173" s="1" t="s">
        <v>16</v>
      </c>
      <c r="E173" s="1">
        <v>36606.51</v>
      </c>
      <c r="F173" s="1">
        <v>7671</v>
      </c>
      <c r="G173" s="1">
        <v>0.11799999999999999</v>
      </c>
      <c r="H173" s="1">
        <v>18</v>
      </c>
      <c r="I173" s="1">
        <v>89.8</v>
      </c>
      <c r="J173" s="1">
        <v>0.25</v>
      </c>
      <c r="K173" s="1">
        <v>0</v>
      </c>
      <c r="L173" s="1">
        <v>4.4000000000000004</v>
      </c>
      <c r="M173" s="1">
        <v>679731.57</v>
      </c>
      <c r="N173" s="1">
        <v>121546.42</v>
      </c>
    </row>
    <row r="174" spans="1:14">
      <c r="A174" s="1" t="s">
        <v>65</v>
      </c>
      <c r="B174" s="3">
        <v>45658</v>
      </c>
      <c r="C174" s="1" t="s">
        <v>15</v>
      </c>
      <c r="D174" s="1" t="s">
        <v>16</v>
      </c>
      <c r="E174" s="1">
        <v>65237.79</v>
      </c>
      <c r="F174" s="1">
        <v>8741</v>
      </c>
      <c r="G174" s="1">
        <v>0.157</v>
      </c>
      <c r="H174" s="1">
        <v>20</v>
      </c>
      <c r="I174" s="1">
        <v>94.4</v>
      </c>
      <c r="J174" s="1">
        <v>6.43</v>
      </c>
      <c r="K174" s="1">
        <v>0</v>
      </c>
      <c r="L174" s="1">
        <v>3.3</v>
      </c>
      <c r="M174" s="1">
        <v>780344.18</v>
      </c>
      <c r="N174" s="1">
        <v>118239.09</v>
      </c>
    </row>
    <row r="175" spans="1:14">
      <c r="A175" s="1" t="s">
        <v>65</v>
      </c>
      <c r="B175" s="3">
        <v>45689</v>
      </c>
      <c r="C175" s="1" t="s">
        <v>15</v>
      </c>
      <c r="D175" s="1" t="s">
        <v>16</v>
      </c>
      <c r="E175" s="1">
        <v>43645.98</v>
      </c>
      <c r="F175" s="1">
        <v>9480</v>
      </c>
      <c r="G175" s="1">
        <v>0.109</v>
      </c>
      <c r="H175" s="1">
        <v>22</v>
      </c>
      <c r="I175" s="1">
        <v>89</v>
      </c>
      <c r="J175" s="1">
        <v>2.11</v>
      </c>
      <c r="K175" s="1">
        <v>0</v>
      </c>
      <c r="L175" s="1">
        <v>3.1</v>
      </c>
      <c r="M175" s="1">
        <v>721364.11</v>
      </c>
      <c r="N175" s="1">
        <v>147272.81</v>
      </c>
    </row>
    <row r="176" spans="1:14">
      <c r="A176" s="1" t="s">
        <v>65</v>
      </c>
      <c r="B176" s="3">
        <v>45717</v>
      </c>
      <c r="C176" s="1" t="s">
        <v>15</v>
      </c>
      <c r="D176" s="1" t="s">
        <v>16</v>
      </c>
      <c r="E176" s="1">
        <v>68040.149999999994</v>
      </c>
      <c r="F176" s="1">
        <v>9826</v>
      </c>
      <c r="G176" s="1">
        <v>0.125</v>
      </c>
      <c r="H176" s="1">
        <v>20</v>
      </c>
      <c r="I176" s="1">
        <v>83.9</v>
      </c>
      <c r="J176" s="1">
        <v>9.1199999999999992</v>
      </c>
      <c r="K176" s="1">
        <v>0</v>
      </c>
      <c r="L176" s="1">
        <v>3.6</v>
      </c>
      <c r="M176" s="1">
        <v>758138.29</v>
      </c>
      <c r="N176" s="1">
        <v>132975.26</v>
      </c>
    </row>
    <row r="177" spans="1:14">
      <c r="A177" s="1" t="s">
        <v>65</v>
      </c>
      <c r="B177" s="3">
        <v>45748</v>
      </c>
      <c r="C177" s="1" t="s">
        <v>15</v>
      </c>
      <c r="D177" s="1" t="s">
        <v>16</v>
      </c>
      <c r="E177" s="1">
        <v>63043.94</v>
      </c>
      <c r="F177" s="1">
        <v>10402</v>
      </c>
      <c r="G177" s="1">
        <v>0.159</v>
      </c>
      <c r="H177" s="1">
        <v>23</v>
      </c>
      <c r="I177" s="1">
        <v>93.9</v>
      </c>
      <c r="J177" s="1">
        <v>2.71</v>
      </c>
      <c r="K177" s="1">
        <v>0</v>
      </c>
      <c r="L177" s="1">
        <v>3.1</v>
      </c>
      <c r="M177" s="1">
        <v>804264</v>
      </c>
      <c r="N177" s="1">
        <v>167117.91</v>
      </c>
    </row>
    <row r="178" spans="1:14">
      <c r="A178" s="1" t="s">
        <v>66</v>
      </c>
      <c r="B178" s="3">
        <v>45658</v>
      </c>
      <c r="C178" s="1" t="s">
        <v>27</v>
      </c>
      <c r="D178" s="1" t="s">
        <v>21</v>
      </c>
      <c r="E178" s="1">
        <v>67494.09</v>
      </c>
      <c r="F178" s="1">
        <v>12361</v>
      </c>
      <c r="G178" s="1">
        <v>4.5999999999999999E-2</v>
      </c>
      <c r="H178" s="1">
        <v>24</v>
      </c>
      <c r="I178" s="1">
        <v>76.599999999999994</v>
      </c>
      <c r="J178" s="1">
        <v>3.65</v>
      </c>
      <c r="K178" s="1">
        <v>1</v>
      </c>
      <c r="L178" s="1">
        <v>3.7</v>
      </c>
      <c r="M178" s="1">
        <v>887537.75</v>
      </c>
      <c r="N178" s="1">
        <v>160362.92000000001</v>
      </c>
    </row>
    <row r="179" spans="1:14">
      <c r="A179" s="1" t="s">
        <v>66</v>
      </c>
      <c r="B179" s="3">
        <v>45689</v>
      </c>
      <c r="C179" s="1" t="s">
        <v>27</v>
      </c>
      <c r="D179" s="1" t="s">
        <v>21</v>
      </c>
      <c r="E179" s="1">
        <v>29389.32</v>
      </c>
      <c r="F179" s="1">
        <v>7925</v>
      </c>
      <c r="G179" s="1">
        <v>0.17699999999999999</v>
      </c>
      <c r="H179" s="1">
        <v>21</v>
      </c>
      <c r="I179" s="1">
        <v>90.9</v>
      </c>
      <c r="J179" s="1">
        <v>7.86</v>
      </c>
      <c r="K179" s="1">
        <v>0</v>
      </c>
      <c r="L179" s="1">
        <v>4</v>
      </c>
      <c r="M179" s="1">
        <v>783582</v>
      </c>
      <c r="N179" s="1">
        <v>130670.93</v>
      </c>
    </row>
    <row r="180" spans="1:14">
      <c r="A180" s="1" t="s">
        <v>66</v>
      </c>
      <c r="B180" s="3">
        <v>45717</v>
      </c>
      <c r="C180" s="1" t="s">
        <v>27</v>
      </c>
      <c r="D180" s="1" t="s">
        <v>21</v>
      </c>
      <c r="E180" s="1">
        <v>40535.089999999997</v>
      </c>
      <c r="F180" s="1">
        <v>8870</v>
      </c>
      <c r="G180" s="1">
        <v>4.1000000000000002E-2</v>
      </c>
      <c r="H180" s="1">
        <v>21</v>
      </c>
      <c r="I180" s="1">
        <v>86.6</v>
      </c>
      <c r="J180" s="1">
        <v>0.3</v>
      </c>
      <c r="K180" s="1">
        <v>0</v>
      </c>
      <c r="L180" s="1">
        <v>4.0999999999999996</v>
      </c>
      <c r="M180" s="1">
        <v>781955.52</v>
      </c>
      <c r="N180" s="1">
        <v>152578.71</v>
      </c>
    </row>
    <row r="181" spans="1:14">
      <c r="A181" s="1" t="s">
        <v>66</v>
      </c>
      <c r="B181" s="3">
        <v>45748</v>
      </c>
      <c r="C181" s="1" t="s">
        <v>27</v>
      </c>
      <c r="D181" s="1" t="s">
        <v>21</v>
      </c>
      <c r="E181" s="1">
        <v>74881.56</v>
      </c>
      <c r="F181" s="1">
        <v>9999</v>
      </c>
      <c r="G181" s="1">
        <v>1.2999999999999999E-2</v>
      </c>
      <c r="H181" s="1">
        <v>20</v>
      </c>
      <c r="I181" s="1">
        <v>89.6</v>
      </c>
      <c r="J181" s="1">
        <v>8.44</v>
      </c>
      <c r="K181" s="1">
        <v>0</v>
      </c>
      <c r="L181" s="1">
        <v>4.0999999999999996</v>
      </c>
      <c r="M181" s="1">
        <v>898031.04</v>
      </c>
      <c r="N181" s="1">
        <v>138666.5</v>
      </c>
    </row>
    <row r="182" spans="1:14">
      <c r="A182" s="1" t="s">
        <v>67</v>
      </c>
      <c r="B182" s="3">
        <v>45658</v>
      </c>
      <c r="C182" s="1" t="s">
        <v>27</v>
      </c>
      <c r="D182" s="1" t="s">
        <v>16</v>
      </c>
      <c r="E182" s="1">
        <v>68491.11</v>
      </c>
      <c r="F182" s="1">
        <v>11154</v>
      </c>
      <c r="G182" s="1">
        <v>1E-3</v>
      </c>
      <c r="H182" s="1">
        <v>24</v>
      </c>
      <c r="I182" s="1">
        <v>89.4</v>
      </c>
      <c r="J182" s="1">
        <v>5.27</v>
      </c>
      <c r="K182" s="1">
        <v>1</v>
      </c>
      <c r="L182" s="1">
        <v>3.9</v>
      </c>
      <c r="M182" s="1">
        <v>855341.28</v>
      </c>
      <c r="N182" s="1">
        <v>175823.8</v>
      </c>
    </row>
    <row r="183" spans="1:14">
      <c r="A183" s="1" t="s">
        <v>67</v>
      </c>
      <c r="B183" s="3">
        <v>45689</v>
      </c>
      <c r="C183" s="1" t="s">
        <v>27</v>
      </c>
      <c r="D183" s="1" t="s">
        <v>16</v>
      </c>
      <c r="E183" s="1">
        <v>45209.25</v>
      </c>
      <c r="F183" s="1">
        <v>9287</v>
      </c>
      <c r="G183" s="1">
        <v>0.14099999999999999</v>
      </c>
      <c r="H183" s="1">
        <v>22</v>
      </c>
      <c r="I183" s="1">
        <v>86.4</v>
      </c>
      <c r="J183" s="1">
        <v>13.22</v>
      </c>
      <c r="K183" s="1">
        <v>0</v>
      </c>
      <c r="L183" s="1">
        <v>3.6</v>
      </c>
      <c r="M183" s="1">
        <v>751393.88</v>
      </c>
      <c r="N183" s="1">
        <v>91480.320000000007</v>
      </c>
    </row>
    <row r="184" spans="1:14">
      <c r="A184" s="1" t="s">
        <v>67</v>
      </c>
      <c r="B184" s="3">
        <v>45717</v>
      </c>
      <c r="C184" s="1" t="s">
        <v>27</v>
      </c>
      <c r="D184" s="1" t="s">
        <v>16</v>
      </c>
      <c r="E184" s="1">
        <v>63010.23</v>
      </c>
      <c r="F184" s="1">
        <v>9812</v>
      </c>
      <c r="G184" s="1">
        <v>0.113</v>
      </c>
      <c r="H184" s="1">
        <v>24</v>
      </c>
      <c r="I184" s="1">
        <v>76.8</v>
      </c>
      <c r="J184" s="1">
        <v>1.02</v>
      </c>
      <c r="K184" s="1">
        <v>1</v>
      </c>
      <c r="L184" s="1">
        <v>3.8</v>
      </c>
      <c r="M184" s="1">
        <v>761077.08</v>
      </c>
      <c r="N184" s="1">
        <v>113605.93</v>
      </c>
    </row>
    <row r="185" spans="1:14">
      <c r="A185" s="1" t="s">
        <v>67</v>
      </c>
      <c r="B185" s="3">
        <v>45748</v>
      </c>
      <c r="C185" s="1" t="s">
        <v>27</v>
      </c>
      <c r="D185" s="1" t="s">
        <v>16</v>
      </c>
      <c r="E185" s="1">
        <v>57948.88</v>
      </c>
      <c r="F185" s="1">
        <v>10741</v>
      </c>
      <c r="G185" s="1">
        <v>7.0000000000000007E-2</v>
      </c>
      <c r="H185" s="1">
        <v>25</v>
      </c>
      <c r="I185" s="1">
        <v>90.1</v>
      </c>
      <c r="J185" s="1">
        <v>4.03</v>
      </c>
      <c r="K185" s="1">
        <v>0</v>
      </c>
      <c r="L185" s="1">
        <v>3.1</v>
      </c>
      <c r="M185" s="1">
        <v>819660.59</v>
      </c>
      <c r="N185" s="1">
        <v>172699.95</v>
      </c>
    </row>
    <row r="186" spans="1:14">
      <c r="A186" s="1" t="s">
        <v>68</v>
      </c>
      <c r="B186" s="3">
        <v>45658</v>
      </c>
      <c r="C186" s="1" t="s">
        <v>20</v>
      </c>
      <c r="D186" s="1" t="s">
        <v>18</v>
      </c>
      <c r="E186" s="1">
        <v>71941.62</v>
      </c>
      <c r="F186" s="1">
        <v>6084</v>
      </c>
      <c r="G186" s="1">
        <v>7.1999999999999995E-2</v>
      </c>
      <c r="H186" s="1">
        <v>13</v>
      </c>
      <c r="I186" s="1">
        <v>93.7</v>
      </c>
      <c r="J186" s="1">
        <v>2.34</v>
      </c>
      <c r="K186" s="1">
        <v>0</v>
      </c>
      <c r="L186" s="1">
        <v>4.4000000000000004</v>
      </c>
      <c r="M186" s="1">
        <v>681855.56</v>
      </c>
      <c r="N186" s="1">
        <v>117645.61</v>
      </c>
    </row>
    <row r="187" spans="1:14">
      <c r="A187" s="1" t="s">
        <v>68</v>
      </c>
      <c r="B187" s="3">
        <v>45689</v>
      </c>
      <c r="C187" s="1" t="s">
        <v>20</v>
      </c>
      <c r="D187" s="1" t="s">
        <v>18</v>
      </c>
      <c r="E187" s="1">
        <v>57147.88</v>
      </c>
      <c r="F187" s="1">
        <v>5252</v>
      </c>
      <c r="G187" s="1">
        <v>0.161</v>
      </c>
      <c r="H187" s="1">
        <v>15</v>
      </c>
      <c r="I187" s="1">
        <v>95.5</v>
      </c>
      <c r="J187" s="1">
        <v>8.51</v>
      </c>
      <c r="K187" s="1">
        <v>0</v>
      </c>
      <c r="L187" s="1">
        <v>4.4000000000000004</v>
      </c>
      <c r="M187" s="1">
        <v>678311.17</v>
      </c>
      <c r="N187" s="1">
        <v>132029.76000000001</v>
      </c>
    </row>
    <row r="188" spans="1:14">
      <c r="A188" s="1" t="s">
        <v>68</v>
      </c>
      <c r="B188" s="3">
        <v>45717</v>
      </c>
      <c r="C188" s="1" t="s">
        <v>20</v>
      </c>
      <c r="D188" s="1" t="s">
        <v>18</v>
      </c>
      <c r="E188" s="1">
        <v>48031.74</v>
      </c>
      <c r="F188" s="1">
        <v>6516</v>
      </c>
      <c r="G188" s="1">
        <v>6.7000000000000004E-2</v>
      </c>
      <c r="H188" s="1">
        <v>14</v>
      </c>
      <c r="I188" s="1">
        <v>99</v>
      </c>
      <c r="J188" s="1">
        <v>0.48</v>
      </c>
      <c r="K188" s="1">
        <v>1</v>
      </c>
      <c r="L188" s="1">
        <v>4.3</v>
      </c>
      <c r="M188" s="1">
        <v>765906.95</v>
      </c>
      <c r="N188" s="1">
        <v>114005.9</v>
      </c>
    </row>
    <row r="189" spans="1:14">
      <c r="A189" s="1" t="s">
        <v>68</v>
      </c>
      <c r="B189" s="3">
        <v>45748</v>
      </c>
      <c r="C189" s="1" t="s">
        <v>20</v>
      </c>
      <c r="D189" s="1" t="s">
        <v>18</v>
      </c>
      <c r="E189" s="1">
        <v>72784.800000000003</v>
      </c>
      <c r="F189" s="1">
        <v>7932</v>
      </c>
      <c r="G189" s="1">
        <v>9.4E-2</v>
      </c>
      <c r="H189" s="1">
        <v>20</v>
      </c>
      <c r="I189" s="1">
        <v>74.900000000000006</v>
      </c>
      <c r="J189" s="1">
        <v>13.62</v>
      </c>
      <c r="K189" s="1">
        <v>0</v>
      </c>
      <c r="L189" s="1">
        <v>4.2</v>
      </c>
      <c r="M189" s="1">
        <v>712546.38</v>
      </c>
      <c r="N189" s="1">
        <v>101480.04</v>
      </c>
    </row>
    <row r="190" spans="1:14">
      <c r="A190" s="1" t="s">
        <v>69</v>
      </c>
      <c r="B190" s="3">
        <v>45658</v>
      </c>
      <c r="C190" s="1" t="s">
        <v>15</v>
      </c>
      <c r="D190" s="1" t="s">
        <v>18</v>
      </c>
      <c r="E190" s="1">
        <v>71641.899999999994</v>
      </c>
      <c r="F190" s="1">
        <v>3506</v>
      </c>
      <c r="G190" s="1">
        <v>0</v>
      </c>
      <c r="H190" s="1">
        <v>11</v>
      </c>
      <c r="I190" s="1">
        <v>86.4</v>
      </c>
      <c r="J190" s="1">
        <v>7.77</v>
      </c>
      <c r="K190" s="1">
        <v>0</v>
      </c>
      <c r="L190" s="1">
        <v>4.0999999999999996</v>
      </c>
      <c r="M190" s="1">
        <v>625993.82999999996</v>
      </c>
      <c r="N190" s="1">
        <v>98960.320000000007</v>
      </c>
    </row>
    <row r="191" spans="1:14">
      <c r="A191" s="1" t="s">
        <v>69</v>
      </c>
      <c r="B191" s="3">
        <v>45689</v>
      </c>
      <c r="C191" s="1" t="s">
        <v>15</v>
      </c>
      <c r="D191" s="1" t="s">
        <v>18</v>
      </c>
      <c r="E191" s="1">
        <v>55788.61</v>
      </c>
      <c r="F191" s="1">
        <v>2312</v>
      </c>
      <c r="G191" s="1">
        <v>5.8000000000000003E-2</v>
      </c>
      <c r="H191" s="1">
        <v>10</v>
      </c>
      <c r="I191" s="1">
        <v>91.3</v>
      </c>
      <c r="J191" s="1">
        <v>1.99</v>
      </c>
      <c r="K191" s="1">
        <v>0</v>
      </c>
      <c r="L191" s="1">
        <v>3.8</v>
      </c>
      <c r="M191" s="1">
        <v>550962.93000000005</v>
      </c>
      <c r="N191" s="1">
        <v>97144.58</v>
      </c>
    </row>
    <row r="192" spans="1:14">
      <c r="A192" s="1" t="s">
        <v>69</v>
      </c>
      <c r="B192" s="3">
        <v>45717</v>
      </c>
      <c r="C192" s="1" t="s">
        <v>15</v>
      </c>
      <c r="D192" s="1" t="s">
        <v>18</v>
      </c>
      <c r="E192" s="1">
        <v>37705.879999999997</v>
      </c>
      <c r="F192" s="1">
        <v>1268</v>
      </c>
      <c r="G192" s="1">
        <v>0.25900000000000001</v>
      </c>
      <c r="H192" s="1">
        <v>9</v>
      </c>
      <c r="I192" s="1">
        <v>84.1</v>
      </c>
      <c r="J192" s="1">
        <v>4.7699999999999996</v>
      </c>
      <c r="K192" s="1">
        <v>0</v>
      </c>
      <c r="L192" s="1">
        <v>3.8</v>
      </c>
      <c r="M192" s="1">
        <v>443275.59</v>
      </c>
      <c r="N192" s="1">
        <v>53544.36</v>
      </c>
    </row>
    <row r="193" spans="1:14">
      <c r="A193" s="1" t="s">
        <v>69</v>
      </c>
      <c r="B193" s="3">
        <v>45748</v>
      </c>
      <c r="C193" s="1" t="s">
        <v>15</v>
      </c>
      <c r="D193" s="1" t="s">
        <v>18</v>
      </c>
      <c r="E193" s="1">
        <v>54966.18</v>
      </c>
      <c r="F193" s="1">
        <v>4423</v>
      </c>
      <c r="G193" s="1">
        <v>0.186</v>
      </c>
      <c r="H193" s="1">
        <v>13</v>
      </c>
      <c r="I193" s="1">
        <v>88.7</v>
      </c>
      <c r="J193" s="1">
        <v>0.2</v>
      </c>
      <c r="K193" s="1">
        <v>0</v>
      </c>
      <c r="L193" s="1">
        <v>4.4000000000000004</v>
      </c>
      <c r="M193" s="1">
        <v>554012.06999999995</v>
      </c>
      <c r="N193" s="1">
        <v>81101.62</v>
      </c>
    </row>
    <row r="194" spans="1:14">
      <c r="A194" s="1" t="s">
        <v>70</v>
      </c>
      <c r="B194" s="3">
        <v>45658</v>
      </c>
      <c r="C194" s="1" t="s">
        <v>27</v>
      </c>
      <c r="D194" s="1" t="s">
        <v>16</v>
      </c>
      <c r="E194" s="1">
        <v>81796.740000000005</v>
      </c>
      <c r="F194" s="1">
        <v>6177</v>
      </c>
      <c r="G194" s="1">
        <v>0.16400000000000001</v>
      </c>
      <c r="H194" s="1">
        <v>14</v>
      </c>
      <c r="I194" s="1">
        <v>87.9</v>
      </c>
      <c r="J194" s="1">
        <v>0.53</v>
      </c>
      <c r="K194" s="1">
        <v>0</v>
      </c>
      <c r="L194" s="1">
        <v>3.2</v>
      </c>
      <c r="M194" s="1">
        <v>643428.85</v>
      </c>
      <c r="N194" s="1">
        <v>94477.63</v>
      </c>
    </row>
    <row r="195" spans="1:14">
      <c r="A195" s="1" t="s">
        <v>70</v>
      </c>
      <c r="B195" s="3">
        <v>45689</v>
      </c>
      <c r="C195" s="1" t="s">
        <v>27</v>
      </c>
      <c r="D195" s="1" t="s">
        <v>16</v>
      </c>
      <c r="E195" s="1">
        <v>51133.43</v>
      </c>
      <c r="F195" s="1">
        <v>5150</v>
      </c>
      <c r="G195" s="1">
        <v>0.15</v>
      </c>
      <c r="H195" s="1">
        <v>12</v>
      </c>
      <c r="I195" s="1">
        <v>88.5</v>
      </c>
      <c r="J195" s="1">
        <v>1.54</v>
      </c>
      <c r="K195" s="1">
        <v>0</v>
      </c>
      <c r="L195" s="1">
        <v>3.2</v>
      </c>
      <c r="M195" s="1">
        <v>611924.27</v>
      </c>
      <c r="N195" s="1">
        <v>115488.75</v>
      </c>
    </row>
    <row r="196" spans="1:14">
      <c r="A196" s="1" t="s">
        <v>70</v>
      </c>
      <c r="B196" s="3">
        <v>45717</v>
      </c>
      <c r="C196" s="1" t="s">
        <v>27</v>
      </c>
      <c r="D196" s="1" t="s">
        <v>16</v>
      </c>
      <c r="E196" s="1">
        <v>40220.18</v>
      </c>
      <c r="F196" s="1">
        <v>3783</v>
      </c>
      <c r="G196" s="1">
        <v>8.8999999999999996E-2</v>
      </c>
      <c r="H196" s="1">
        <v>14</v>
      </c>
      <c r="I196" s="1">
        <v>86.6</v>
      </c>
      <c r="J196" s="1">
        <v>3.63</v>
      </c>
      <c r="K196" s="1">
        <v>0</v>
      </c>
      <c r="L196" s="1">
        <v>3.7</v>
      </c>
      <c r="M196" s="1">
        <v>559422.02</v>
      </c>
      <c r="N196" s="1">
        <v>73528.740000000005</v>
      </c>
    </row>
    <row r="197" spans="1:14">
      <c r="A197" s="1" t="s">
        <v>70</v>
      </c>
      <c r="B197" s="3">
        <v>45748</v>
      </c>
      <c r="C197" s="1" t="s">
        <v>27</v>
      </c>
      <c r="D197" s="1" t="s">
        <v>16</v>
      </c>
      <c r="E197" s="1">
        <v>41657.64</v>
      </c>
      <c r="F197" s="1">
        <v>3135</v>
      </c>
      <c r="G197" s="1">
        <v>0.22900000000000001</v>
      </c>
      <c r="H197" s="1">
        <v>7</v>
      </c>
      <c r="I197" s="1">
        <v>85.4</v>
      </c>
      <c r="J197" s="1">
        <v>13.48</v>
      </c>
      <c r="K197" s="1">
        <v>0</v>
      </c>
      <c r="L197" s="1">
        <v>3.92</v>
      </c>
      <c r="M197" s="1">
        <v>449465.06</v>
      </c>
      <c r="N197" s="1">
        <v>65694.78</v>
      </c>
    </row>
    <row r="198" spans="1:14">
      <c r="A198" s="1" t="s">
        <v>71</v>
      </c>
      <c r="B198" s="3">
        <v>45658</v>
      </c>
      <c r="C198" s="1" t="s">
        <v>20</v>
      </c>
      <c r="D198" s="1" t="s">
        <v>16</v>
      </c>
      <c r="E198" s="1">
        <v>71851.45</v>
      </c>
      <c r="F198" s="1">
        <v>4970</v>
      </c>
      <c r="G198" s="1">
        <v>9.8000000000000004E-2</v>
      </c>
      <c r="H198" s="1">
        <v>11</v>
      </c>
      <c r="I198" s="1">
        <v>89.6</v>
      </c>
      <c r="J198" s="1">
        <v>0.2</v>
      </c>
      <c r="K198" s="1">
        <v>0</v>
      </c>
      <c r="L198" s="1">
        <v>4.2</v>
      </c>
      <c r="M198" s="1">
        <v>691447.43</v>
      </c>
      <c r="N198" s="1">
        <v>114077.69</v>
      </c>
    </row>
    <row r="199" spans="1:14">
      <c r="A199" s="1" t="s">
        <v>71</v>
      </c>
      <c r="B199" s="3">
        <v>45689</v>
      </c>
      <c r="C199" s="1" t="s">
        <v>20</v>
      </c>
      <c r="D199" s="1" t="s">
        <v>16</v>
      </c>
      <c r="E199" s="1">
        <v>54002.83</v>
      </c>
      <c r="F199" s="1">
        <v>4366</v>
      </c>
      <c r="G199" s="1">
        <v>2.7E-2</v>
      </c>
      <c r="H199" s="1">
        <v>15</v>
      </c>
      <c r="I199" s="1">
        <v>90.6</v>
      </c>
      <c r="J199" s="1">
        <v>12.82</v>
      </c>
      <c r="K199" s="1">
        <v>0</v>
      </c>
      <c r="L199" s="1">
        <v>4.5999999999999996</v>
      </c>
      <c r="M199" s="1">
        <v>574066.61</v>
      </c>
      <c r="N199" s="1">
        <v>124674.67</v>
      </c>
    </row>
    <row r="200" spans="1:14">
      <c r="A200" s="1" t="s">
        <v>71</v>
      </c>
      <c r="B200" s="3">
        <v>45717</v>
      </c>
      <c r="C200" s="1" t="s">
        <v>20</v>
      </c>
      <c r="D200" s="1" t="s">
        <v>16</v>
      </c>
      <c r="E200" s="1">
        <v>54479.33</v>
      </c>
      <c r="F200" s="1">
        <v>5012</v>
      </c>
      <c r="G200" s="1">
        <v>0.28399999999999997</v>
      </c>
      <c r="H200" s="1">
        <v>13</v>
      </c>
      <c r="I200" s="1">
        <v>86</v>
      </c>
      <c r="J200" s="1">
        <v>2.2400000000000002</v>
      </c>
      <c r="K200" s="1">
        <v>1</v>
      </c>
      <c r="L200" s="1">
        <v>4.3</v>
      </c>
      <c r="M200" s="1">
        <v>578949.84</v>
      </c>
      <c r="N200" s="1">
        <v>80253.649999999994</v>
      </c>
    </row>
    <row r="201" spans="1:14">
      <c r="A201" s="1" t="s">
        <v>71</v>
      </c>
      <c r="B201" s="3">
        <v>45748</v>
      </c>
      <c r="C201" s="1" t="s">
        <v>20</v>
      </c>
      <c r="D201" s="1" t="s">
        <v>16</v>
      </c>
      <c r="E201" s="1">
        <v>61391.8</v>
      </c>
      <c r="F201" s="1">
        <v>5575</v>
      </c>
      <c r="G201" s="1">
        <v>0.189</v>
      </c>
      <c r="H201" s="1">
        <v>18</v>
      </c>
      <c r="I201" s="1">
        <v>90</v>
      </c>
      <c r="J201" s="1">
        <v>1.8</v>
      </c>
      <c r="K201" s="1">
        <v>0</v>
      </c>
      <c r="L201" s="1">
        <v>4.8</v>
      </c>
      <c r="M201" s="1">
        <v>735786.64</v>
      </c>
      <c r="N201" s="1">
        <v>126540.66</v>
      </c>
    </row>
    <row r="202" spans="1:14">
      <c r="A202" s="1" t="s">
        <v>72</v>
      </c>
      <c r="B202" s="3">
        <v>45658</v>
      </c>
      <c r="C202" s="1" t="s">
        <v>15</v>
      </c>
      <c r="D202" s="1" t="s">
        <v>21</v>
      </c>
      <c r="E202" s="1">
        <v>22312.93</v>
      </c>
      <c r="F202" s="1">
        <v>5955</v>
      </c>
      <c r="G202" s="1">
        <v>0.123</v>
      </c>
      <c r="H202" s="1">
        <v>13</v>
      </c>
      <c r="I202" s="1">
        <v>84.2</v>
      </c>
      <c r="J202" s="1">
        <v>0.41</v>
      </c>
      <c r="K202" s="1">
        <v>1</v>
      </c>
      <c r="L202" s="1">
        <v>4.5999999999999996</v>
      </c>
      <c r="M202" s="1">
        <v>598904.9</v>
      </c>
      <c r="N202" s="1">
        <v>72861</v>
      </c>
    </row>
    <row r="203" spans="1:14">
      <c r="A203" s="1" t="s">
        <v>72</v>
      </c>
      <c r="B203" s="3">
        <v>45689</v>
      </c>
      <c r="C203" s="1" t="s">
        <v>15</v>
      </c>
      <c r="D203" s="1" t="s">
        <v>21</v>
      </c>
      <c r="E203" s="1">
        <v>78111.97</v>
      </c>
      <c r="F203" s="1">
        <v>6389</v>
      </c>
      <c r="G203" s="1">
        <v>0.15</v>
      </c>
      <c r="H203" s="1">
        <v>13</v>
      </c>
      <c r="I203" s="1">
        <v>83.9</v>
      </c>
      <c r="J203" s="1">
        <v>3.05</v>
      </c>
      <c r="K203" s="1">
        <v>0</v>
      </c>
      <c r="L203" s="1">
        <v>4.8</v>
      </c>
      <c r="M203" s="1">
        <v>787715.51</v>
      </c>
      <c r="N203" s="1">
        <v>128969.62</v>
      </c>
    </row>
    <row r="204" spans="1:14">
      <c r="A204" s="1" t="s">
        <v>72</v>
      </c>
      <c r="B204" s="3">
        <v>45717</v>
      </c>
      <c r="C204" s="1" t="s">
        <v>15</v>
      </c>
      <c r="D204" s="1" t="s">
        <v>21</v>
      </c>
      <c r="E204" s="1">
        <v>35203.230000000003</v>
      </c>
      <c r="F204" s="1">
        <v>6896</v>
      </c>
      <c r="G204" s="1">
        <v>3.2000000000000001E-2</v>
      </c>
      <c r="H204" s="1">
        <v>14</v>
      </c>
      <c r="I204" s="1">
        <v>80.8</v>
      </c>
      <c r="J204" s="1">
        <v>8.44</v>
      </c>
      <c r="K204" s="1">
        <v>1</v>
      </c>
      <c r="L204" s="1">
        <v>5</v>
      </c>
      <c r="M204" s="1">
        <v>607084.92000000004</v>
      </c>
      <c r="N204" s="1">
        <v>98558.49</v>
      </c>
    </row>
    <row r="205" spans="1:14">
      <c r="A205" s="1" t="s">
        <v>72</v>
      </c>
      <c r="B205" s="3">
        <v>45748</v>
      </c>
      <c r="C205" s="1" t="s">
        <v>15</v>
      </c>
      <c r="D205" s="1" t="s">
        <v>21</v>
      </c>
      <c r="E205" s="1">
        <v>64104.28</v>
      </c>
      <c r="F205" s="1">
        <v>6015</v>
      </c>
      <c r="G205" s="1">
        <v>0.127</v>
      </c>
      <c r="H205" s="1">
        <v>15</v>
      </c>
      <c r="I205" s="1">
        <v>88.7</v>
      </c>
      <c r="J205" s="1">
        <v>0.78</v>
      </c>
      <c r="K205" s="1">
        <v>0</v>
      </c>
      <c r="L205" s="1">
        <v>4</v>
      </c>
      <c r="M205" s="1">
        <v>650795.49</v>
      </c>
      <c r="N205" s="1">
        <v>103035.89</v>
      </c>
    </row>
    <row r="206" spans="1:14">
      <c r="A206" s="1" t="s">
        <v>73</v>
      </c>
      <c r="B206" s="3">
        <v>45658</v>
      </c>
      <c r="C206" s="1" t="s">
        <v>15</v>
      </c>
      <c r="D206" s="1" t="s">
        <v>28</v>
      </c>
      <c r="E206" s="1">
        <v>92090.14</v>
      </c>
      <c r="F206" s="1">
        <v>9476</v>
      </c>
      <c r="G206" s="1">
        <v>7.0000000000000007E-2</v>
      </c>
      <c r="H206" s="1">
        <v>24</v>
      </c>
      <c r="I206" s="1">
        <v>94.3</v>
      </c>
      <c r="J206" s="1">
        <v>0.87</v>
      </c>
      <c r="K206" s="1">
        <v>0</v>
      </c>
      <c r="L206" s="1">
        <v>3.7</v>
      </c>
      <c r="M206" s="1">
        <v>825060.52</v>
      </c>
      <c r="N206" s="1">
        <v>143613.15</v>
      </c>
    </row>
    <row r="207" spans="1:14">
      <c r="A207" s="1" t="s">
        <v>73</v>
      </c>
      <c r="B207" s="3">
        <v>45689</v>
      </c>
      <c r="C207" s="1" t="s">
        <v>15</v>
      </c>
      <c r="D207" s="1" t="s">
        <v>28</v>
      </c>
      <c r="E207" s="1">
        <v>54300.87</v>
      </c>
      <c r="F207" s="1">
        <v>7875</v>
      </c>
      <c r="G207" s="1">
        <v>0.107</v>
      </c>
      <c r="H207" s="1">
        <v>19</v>
      </c>
      <c r="I207" s="1">
        <v>94.1</v>
      </c>
      <c r="J207" s="1">
        <v>0.95</v>
      </c>
      <c r="K207" s="1">
        <v>0</v>
      </c>
      <c r="L207" s="1">
        <v>3.7</v>
      </c>
      <c r="M207" s="1">
        <v>795464.47</v>
      </c>
      <c r="N207" s="1">
        <v>161150.51999999999</v>
      </c>
    </row>
    <row r="208" spans="1:14">
      <c r="A208" s="1" t="s">
        <v>73</v>
      </c>
      <c r="B208" s="3">
        <v>45717</v>
      </c>
      <c r="C208" s="1" t="s">
        <v>15</v>
      </c>
      <c r="D208" s="1" t="s">
        <v>28</v>
      </c>
      <c r="E208" s="1">
        <v>37983.35</v>
      </c>
      <c r="F208" s="1">
        <v>9283</v>
      </c>
      <c r="G208" s="1">
        <v>0.14899999999999999</v>
      </c>
      <c r="H208" s="1">
        <v>19</v>
      </c>
      <c r="I208" s="1">
        <v>83.2</v>
      </c>
      <c r="J208" s="1">
        <v>3.82</v>
      </c>
      <c r="K208" s="1">
        <v>0</v>
      </c>
      <c r="L208" s="1">
        <v>3.7</v>
      </c>
      <c r="M208" s="1">
        <v>671868.59</v>
      </c>
      <c r="N208" s="1">
        <v>71003.28</v>
      </c>
    </row>
    <row r="209" spans="1:14">
      <c r="A209" s="1" t="s">
        <v>73</v>
      </c>
      <c r="B209" s="3">
        <v>45748</v>
      </c>
      <c r="C209" s="1" t="s">
        <v>15</v>
      </c>
      <c r="D209" s="1" t="s">
        <v>28</v>
      </c>
      <c r="E209" s="1">
        <v>56413.83</v>
      </c>
      <c r="F209" s="1">
        <v>8303</v>
      </c>
      <c r="G209" s="1">
        <v>0.11600000000000001</v>
      </c>
      <c r="H209" s="1">
        <v>18</v>
      </c>
      <c r="I209" s="1">
        <v>93.6</v>
      </c>
      <c r="J209" s="1">
        <v>2.7</v>
      </c>
      <c r="K209" s="1">
        <v>0</v>
      </c>
      <c r="L209" s="1">
        <v>3.7</v>
      </c>
      <c r="M209" s="1">
        <v>675917.63</v>
      </c>
      <c r="N209" s="1">
        <v>112564.75</v>
      </c>
    </row>
    <row r="210" spans="1:14">
      <c r="A210" s="1" t="s">
        <v>74</v>
      </c>
      <c r="B210" s="3">
        <v>45658</v>
      </c>
      <c r="C210" s="1" t="s">
        <v>15</v>
      </c>
      <c r="D210" s="1" t="s">
        <v>18</v>
      </c>
      <c r="E210" s="1">
        <v>63457.19</v>
      </c>
      <c r="F210" s="1">
        <v>10125</v>
      </c>
      <c r="G210" s="1">
        <v>9.7000000000000003E-2</v>
      </c>
      <c r="H210" s="1">
        <v>24</v>
      </c>
      <c r="I210" s="1">
        <v>87</v>
      </c>
      <c r="J210" s="1">
        <v>3.84</v>
      </c>
      <c r="K210" s="1">
        <v>1</v>
      </c>
      <c r="L210" s="1">
        <v>3.7</v>
      </c>
      <c r="M210" s="1">
        <v>810446.53</v>
      </c>
      <c r="N210" s="1">
        <v>200575.34</v>
      </c>
    </row>
    <row r="211" spans="1:14">
      <c r="A211" s="1" t="s">
        <v>74</v>
      </c>
      <c r="B211" s="3">
        <v>45689</v>
      </c>
      <c r="C211" s="1" t="s">
        <v>15</v>
      </c>
      <c r="D211" s="1" t="s">
        <v>18</v>
      </c>
      <c r="E211" s="1">
        <v>62949.7</v>
      </c>
      <c r="F211" s="1">
        <v>9458</v>
      </c>
      <c r="G211" s="1">
        <v>0.17100000000000001</v>
      </c>
      <c r="H211" s="1">
        <v>19</v>
      </c>
      <c r="I211" s="1">
        <v>84.9</v>
      </c>
      <c r="J211" s="1">
        <v>5.09</v>
      </c>
      <c r="K211" s="1">
        <v>0</v>
      </c>
      <c r="L211" s="1">
        <v>3.3</v>
      </c>
      <c r="M211" s="1">
        <v>691288.19</v>
      </c>
      <c r="N211" s="1">
        <v>159074.14000000001</v>
      </c>
    </row>
    <row r="212" spans="1:14">
      <c r="A212" s="1" t="s">
        <v>74</v>
      </c>
      <c r="B212" s="3">
        <v>45717</v>
      </c>
      <c r="C212" s="1" t="s">
        <v>15</v>
      </c>
      <c r="D212" s="1" t="s">
        <v>18</v>
      </c>
      <c r="E212" s="1">
        <v>107970.19</v>
      </c>
      <c r="F212" s="1">
        <v>12870</v>
      </c>
      <c r="G212" s="1">
        <v>2.9000000000000001E-2</v>
      </c>
      <c r="H212" s="1">
        <v>31</v>
      </c>
      <c r="I212" s="1">
        <v>91.7</v>
      </c>
      <c r="J212" s="1">
        <v>3.82</v>
      </c>
      <c r="K212" s="1">
        <v>1</v>
      </c>
      <c r="L212" s="1">
        <v>3.7</v>
      </c>
      <c r="M212" s="1">
        <v>946833.54</v>
      </c>
      <c r="N212" s="1">
        <v>184540.31</v>
      </c>
    </row>
    <row r="213" spans="1:14">
      <c r="A213" s="1" t="s">
        <v>74</v>
      </c>
      <c r="B213" s="3">
        <v>45748</v>
      </c>
      <c r="C213" s="1" t="s">
        <v>15</v>
      </c>
      <c r="D213" s="1" t="s">
        <v>18</v>
      </c>
      <c r="E213" s="1">
        <v>49405.75</v>
      </c>
      <c r="F213" s="1">
        <v>9752</v>
      </c>
      <c r="G213" s="1">
        <v>9.2999999999999999E-2</v>
      </c>
      <c r="H213" s="1">
        <v>21</v>
      </c>
      <c r="I213" s="1">
        <v>87</v>
      </c>
      <c r="J213" s="1">
        <v>12.28</v>
      </c>
      <c r="K213" s="1">
        <v>0</v>
      </c>
      <c r="L213" s="1">
        <v>4.0999999999999996</v>
      </c>
      <c r="M213" s="1">
        <v>761963.23</v>
      </c>
      <c r="N213" s="1">
        <v>150113.60999999999</v>
      </c>
    </row>
    <row r="214" spans="1:14">
      <c r="A214" s="1" t="s">
        <v>75</v>
      </c>
      <c r="B214" s="3">
        <v>45658</v>
      </c>
      <c r="C214" s="1" t="s">
        <v>27</v>
      </c>
      <c r="D214" s="1" t="s">
        <v>16</v>
      </c>
      <c r="E214" s="1">
        <v>50887.46</v>
      </c>
      <c r="F214" s="1">
        <v>9505</v>
      </c>
      <c r="G214" s="1">
        <v>9.0999999999999998E-2</v>
      </c>
      <c r="H214" s="1">
        <v>25</v>
      </c>
      <c r="I214" s="1">
        <v>89.7</v>
      </c>
      <c r="J214" s="1">
        <v>2.8</v>
      </c>
      <c r="K214" s="1">
        <v>0</v>
      </c>
      <c r="L214" s="1">
        <v>4.3</v>
      </c>
      <c r="M214" s="1">
        <v>812152.6</v>
      </c>
      <c r="N214" s="1">
        <v>138419.43</v>
      </c>
    </row>
    <row r="215" spans="1:14">
      <c r="A215" s="1" t="s">
        <v>75</v>
      </c>
      <c r="B215" s="3">
        <v>45689</v>
      </c>
      <c r="C215" s="1" t="s">
        <v>27</v>
      </c>
      <c r="D215" s="1" t="s">
        <v>16</v>
      </c>
      <c r="E215" s="1">
        <v>41819.449999999997</v>
      </c>
      <c r="F215" s="1">
        <v>9412</v>
      </c>
      <c r="G215" s="1">
        <v>0.15</v>
      </c>
      <c r="H215" s="1">
        <v>22</v>
      </c>
      <c r="I215" s="1">
        <v>91</v>
      </c>
      <c r="J215" s="1">
        <v>3.67</v>
      </c>
      <c r="K215" s="1">
        <v>0</v>
      </c>
      <c r="L215" s="1">
        <v>4.2</v>
      </c>
      <c r="M215" s="1">
        <v>804975.5</v>
      </c>
      <c r="N215" s="1">
        <v>140054.5</v>
      </c>
    </row>
    <row r="216" spans="1:14">
      <c r="A216" s="1" t="s">
        <v>75</v>
      </c>
      <c r="B216" s="3">
        <v>45717</v>
      </c>
      <c r="C216" s="1" t="s">
        <v>27</v>
      </c>
      <c r="D216" s="1" t="s">
        <v>16</v>
      </c>
      <c r="E216" s="1">
        <v>35296.54</v>
      </c>
      <c r="F216" s="1">
        <v>9644</v>
      </c>
      <c r="G216" s="1">
        <v>0</v>
      </c>
      <c r="H216" s="1">
        <v>22</v>
      </c>
      <c r="I216" s="1">
        <v>88</v>
      </c>
      <c r="J216" s="1">
        <v>2.81</v>
      </c>
      <c r="K216" s="1">
        <v>0</v>
      </c>
      <c r="L216" s="1">
        <v>4.7</v>
      </c>
      <c r="M216" s="1">
        <v>752321.72</v>
      </c>
      <c r="N216" s="1">
        <v>137788.51</v>
      </c>
    </row>
    <row r="217" spans="1:14">
      <c r="A217" s="1" t="s">
        <v>75</v>
      </c>
      <c r="B217" s="3">
        <v>45748</v>
      </c>
      <c r="C217" s="1" t="s">
        <v>27</v>
      </c>
      <c r="D217" s="1" t="s">
        <v>16</v>
      </c>
      <c r="E217" s="1">
        <v>47391.09</v>
      </c>
      <c r="F217" s="1">
        <v>11224</v>
      </c>
      <c r="G217" s="1">
        <v>0.14699999999999999</v>
      </c>
      <c r="H217" s="1">
        <v>25</v>
      </c>
      <c r="I217" s="1">
        <v>88.4</v>
      </c>
      <c r="J217" s="1">
        <v>2.44</v>
      </c>
      <c r="K217" s="1">
        <v>0</v>
      </c>
      <c r="L217" s="1">
        <v>4.9000000000000004</v>
      </c>
      <c r="M217" s="1">
        <v>836908.24</v>
      </c>
      <c r="N217" s="1">
        <v>141090.26</v>
      </c>
    </row>
    <row r="218" spans="1:14">
      <c r="A218" s="1" t="s">
        <v>76</v>
      </c>
      <c r="B218" s="3">
        <v>45658</v>
      </c>
      <c r="C218" s="1" t="s">
        <v>20</v>
      </c>
      <c r="D218" s="1" t="s">
        <v>21</v>
      </c>
      <c r="E218" s="1">
        <v>69180.539999999994</v>
      </c>
      <c r="F218" s="1">
        <v>5394</v>
      </c>
      <c r="G218" s="1">
        <v>0.126</v>
      </c>
      <c r="H218" s="1">
        <v>12</v>
      </c>
      <c r="I218" s="1">
        <v>82.9</v>
      </c>
      <c r="J218" s="1">
        <v>3.27</v>
      </c>
      <c r="K218" s="1">
        <v>0</v>
      </c>
      <c r="L218" s="1">
        <v>3.3</v>
      </c>
      <c r="M218" s="1">
        <v>674289.1</v>
      </c>
      <c r="N218" s="1">
        <v>117773.79</v>
      </c>
    </row>
    <row r="219" spans="1:14">
      <c r="A219" s="1" t="s">
        <v>76</v>
      </c>
      <c r="B219" s="3">
        <v>45689</v>
      </c>
      <c r="C219" s="1" t="s">
        <v>20</v>
      </c>
      <c r="D219" s="1" t="s">
        <v>21</v>
      </c>
      <c r="E219" s="1">
        <v>33987.33</v>
      </c>
      <c r="F219" s="1">
        <v>5014</v>
      </c>
      <c r="G219" s="1">
        <v>0.246</v>
      </c>
      <c r="H219" s="1">
        <v>17</v>
      </c>
      <c r="I219" s="1">
        <v>94.3</v>
      </c>
      <c r="J219" s="1">
        <v>10.34</v>
      </c>
      <c r="K219" s="1">
        <v>0</v>
      </c>
      <c r="L219" s="1">
        <v>3.9</v>
      </c>
      <c r="M219" s="1">
        <v>622892.42000000004</v>
      </c>
      <c r="N219" s="1">
        <v>101032.52</v>
      </c>
    </row>
    <row r="220" spans="1:14">
      <c r="A220" s="1" t="s">
        <v>76</v>
      </c>
      <c r="B220" s="3">
        <v>45717</v>
      </c>
      <c r="C220" s="1" t="s">
        <v>20</v>
      </c>
      <c r="D220" s="1" t="s">
        <v>21</v>
      </c>
      <c r="E220" s="1">
        <v>58785.33</v>
      </c>
      <c r="F220" s="1">
        <v>4467</v>
      </c>
      <c r="G220" s="1">
        <v>0.22900000000000001</v>
      </c>
      <c r="H220" s="1">
        <v>14</v>
      </c>
      <c r="I220" s="1">
        <v>90.7</v>
      </c>
      <c r="J220" s="1">
        <v>1.92</v>
      </c>
      <c r="K220" s="1">
        <v>0</v>
      </c>
      <c r="L220" s="1">
        <v>3.7</v>
      </c>
      <c r="M220" s="1">
        <v>673348.56</v>
      </c>
      <c r="N220" s="1">
        <v>69464.59</v>
      </c>
    </row>
    <row r="221" spans="1:14">
      <c r="A221" s="1" t="s">
        <v>76</v>
      </c>
      <c r="B221" s="3">
        <v>45748</v>
      </c>
      <c r="C221" s="1" t="s">
        <v>20</v>
      </c>
      <c r="D221" s="1" t="s">
        <v>21</v>
      </c>
      <c r="E221" s="1">
        <v>16451.849999999999</v>
      </c>
      <c r="F221" s="1">
        <v>4678</v>
      </c>
      <c r="G221" s="1">
        <v>0.13300000000000001</v>
      </c>
      <c r="H221" s="1">
        <v>11</v>
      </c>
      <c r="I221" s="1">
        <v>95.9</v>
      </c>
      <c r="J221" s="1">
        <v>3.1</v>
      </c>
      <c r="K221" s="1">
        <v>0</v>
      </c>
      <c r="L221" s="1">
        <v>3.9</v>
      </c>
      <c r="M221" s="1">
        <v>606278.30000000005</v>
      </c>
      <c r="N221" s="1">
        <v>102213.26</v>
      </c>
    </row>
    <row r="222" spans="1:14">
      <c r="A222" s="1" t="s">
        <v>77</v>
      </c>
      <c r="B222" s="3">
        <v>45658</v>
      </c>
      <c r="C222" s="1" t="s">
        <v>15</v>
      </c>
      <c r="D222" s="1" t="s">
        <v>18</v>
      </c>
      <c r="E222" s="1">
        <v>53367.73</v>
      </c>
      <c r="F222" s="1">
        <v>7291</v>
      </c>
      <c r="G222" s="1">
        <v>0.14599999999999999</v>
      </c>
      <c r="H222" s="1">
        <v>18</v>
      </c>
      <c r="I222" s="1">
        <v>90.6</v>
      </c>
      <c r="J222" s="1">
        <v>6.34</v>
      </c>
      <c r="K222" s="1">
        <v>1</v>
      </c>
      <c r="L222" s="1">
        <v>3.8</v>
      </c>
      <c r="M222" s="1">
        <v>712219.81</v>
      </c>
      <c r="N222" s="1">
        <v>85906.54</v>
      </c>
    </row>
    <row r="223" spans="1:14">
      <c r="A223" s="1" t="s">
        <v>77</v>
      </c>
      <c r="B223" s="3">
        <v>45689</v>
      </c>
      <c r="C223" s="1" t="s">
        <v>15</v>
      </c>
      <c r="D223" s="1" t="s">
        <v>18</v>
      </c>
      <c r="E223" s="1">
        <v>27194.639999999999</v>
      </c>
      <c r="F223" s="1">
        <v>7404</v>
      </c>
      <c r="G223" s="1">
        <v>8.7999999999999995E-2</v>
      </c>
      <c r="H223" s="1">
        <v>18</v>
      </c>
      <c r="I223" s="1">
        <v>90.2</v>
      </c>
      <c r="J223" s="1">
        <v>1.2</v>
      </c>
      <c r="K223" s="1">
        <v>0</v>
      </c>
      <c r="L223" s="1">
        <v>3.4</v>
      </c>
      <c r="M223" s="1">
        <v>672670.54</v>
      </c>
      <c r="N223" s="1">
        <v>132684.18</v>
      </c>
    </row>
    <row r="224" spans="1:14">
      <c r="A224" s="1" t="s">
        <v>77</v>
      </c>
      <c r="B224" s="3">
        <v>45717</v>
      </c>
      <c r="C224" s="1" t="s">
        <v>15</v>
      </c>
      <c r="D224" s="1" t="s">
        <v>18</v>
      </c>
      <c r="E224" s="1">
        <v>66962.740000000005</v>
      </c>
      <c r="F224" s="1">
        <v>7880</v>
      </c>
      <c r="G224" s="1">
        <v>0.11600000000000001</v>
      </c>
      <c r="H224" s="1">
        <v>19</v>
      </c>
      <c r="I224" s="1">
        <v>90.4</v>
      </c>
      <c r="J224" s="1">
        <v>4.5</v>
      </c>
      <c r="K224" s="1">
        <v>0</v>
      </c>
      <c r="L224" s="1">
        <v>3.3</v>
      </c>
      <c r="M224" s="1">
        <v>732667.92</v>
      </c>
      <c r="N224" s="1">
        <v>128654.46</v>
      </c>
    </row>
    <row r="225" spans="1:14">
      <c r="A225" s="1" t="s">
        <v>77</v>
      </c>
      <c r="B225" s="3">
        <v>45748</v>
      </c>
      <c r="C225" s="1" t="s">
        <v>15</v>
      </c>
      <c r="D225" s="1" t="s">
        <v>18</v>
      </c>
      <c r="E225" s="1">
        <v>73540.990000000005</v>
      </c>
      <c r="F225" s="1">
        <v>8773</v>
      </c>
      <c r="G225" s="1">
        <v>3.5000000000000003E-2</v>
      </c>
      <c r="H225" s="1">
        <v>21</v>
      </c>
      <c r="I225" s="1">
        <v>84.4</v>
      </c>
      <c r="J225" s="1">
        <v>6.68</v>
      </c>
      <c r="K225" s="1">
        <v>0</v>
      </c>
      <c r="L225" s="1">
        <v>3.6</v>
      </c>
      <c r="M225" s="1">
        <v>723531.4</v>
      </c>
      <c r="N225" s="1">
        <v>108794.85</v>
      </c>
    </row>
    <row r="226" spans="1:14">
      <c r="A226" s="1" t="s">
        <v>78</v>
      </c>
      <c r="B226" s="3">
        <v>45658</v>
      </c>
      <c r="C226" s="1" t="s">
        <v>15</v>
      </c>
      <c r="D226" s="1" t="s">
        <v>28</v>
      </c>
      <c r="E226" s="1">
        <v>68212.289999999994</v>
      </c>
      <c r="F226" s="1">
        <v>4713</v>
      </c>
      <c r="G226" s="1">
        <v>0.19800000000000001</v>
      </c>
      <c r="H226" s="1">
        <v>15</v>
      </c>
      <c r="I226" s="1">
        <v>82.6</v>
      </c>
      <c r="J226" s="1">
        <v>4.07</v>
      </c>
      <c r="K226" s="1">
        <v>1</v>
      </c>
      <c r="L226" s="1">
        <v>3</v>
      </c>
      <c r="M226" s="1">
        <v>641564.6</v>
      </c>
      <c r="N226" s="1">
        <v>90468.96</v>
      </c>
    </row>
    <row r="227" spans="1:14">
      <c r="A227" s="1" t="s">
        <v>78</v>
      </c>
      <c r="B227" s="3">
        <v>45689</v>
      </c>
      <c r="C227" s="1" t="s">
        <v>15</v>
      </c>
      <c r="D227" s="1" t="s">
        <v>28</v>
      </c>
      <c r="E227" s="1">
        <v>57225.98</v>
      </c>
      <c r="F227" s="1">
        <v>2842</v>
      </c>
      <c r="G227" s="1">
        <v>0.112</v>
      </c>
      <c r="H227" s="1">
        <v>10</v>
      </c>
      <c r="I227" s="1">
        <v>79.5</v>
      </c>
      <c r="J227" s="1">
        <v>5.45</v>
      </c>
      <c r="K227" s="1">
        <v>0</v>
      </c>
      <c r="L227" s="1">
        <v>3.4</v>
      </c>
      <c r="M227" s="1">
        <v>536545.49</v>
      </c>
      <c r="N227" s="1">
        <v>97917.45</v>
      </c>
    </row>
    <row r="228" spans="1:14">
      <c r="A228" s="1" t="s">
        <v>78</v>
      </c>
      <c r="B228" s="3">
        <v>45717</v>
      </c>
      <c r="C228" s="1" t="s">
        <v>15</v>
      </c>
      <c r="D228" s="1" t="s">
        <v>28</v>
      </c>
      <c r="E228" s="1">
        <v>42932.02</v>
      </c>
      <c r="F228" s="1">
        <v>3872</v>
      </c>
      <c r="G228" s="1">
        <v>0.17100000000000001</v>
      </c>
      <c r="H228" s="1">
        <v>12</v>
      </c>
      <c r="I228" s="1">
        <v>83.2</v>
      </c>
      <c r="J228" s="1">
        <v>15.58</v>
      </c>
      <c r="K228" s="1">
        <v>0</v>
      </c>
      <c r="L228" s="1">
        <v>3.3</v>
      </c>
      <c r="M228" s="1">
        <v>527681.56000000006</v>
      </c>
      <c r="N228" s="1">
        <v>63153.05</v>
      </c>
    </row>
    <row r="229" spans="1:14">
      <c r="A229" s="1" t="s">
        <v>78</v>
      </c>
      <c r="B229" s="3">
        <v>45748</v>
      </c>
      <c r="C229" s="1" t="s">
        <v>15</v>
      </c>
      <c r="D229" s="1" t="s">
        <v>28</v>
      </c>
      <c r="E229" s="1">
        <v>39341.449999999997</v>
      </c>
      <c r="F229" s="1">
        <v>1375</v>
      </c>
      <c r="G229" s="1">
        <v>9.2999999999999999E-2</v>
      </c>
      <c r="H229" s="1">
        <v>5</v>
      </c>
      <c r="I229" s="1">
        <v>95</v>
      </c>
      <c r="J229" s="1">
        <v>5.32</v>
      </c>
      <c r="K229" s="1">
        <v>0</v>
      </c>
      <c r="L229" s="1">
        <v>3.92</v>
      </c>
      <c r="M229" s="1">
        <v>529598.93999999994</v>
      </c>
      <c r="N229" s="1">
        <v>84334.33</v>
      </c>
    </row>
    <row r="230" spans="1:14">
      <c r="A230" s="1" t="s">
        <v>79</v>
      </c>
      <c r="B230" s="3">
        <v>45658</v>
      </c>
      <c r="C230" s="1" t="s">
        <v>15</v>
      </c>
      <c r="D230" s="1" t="s">
        <v>18</v>
      </c>
      <c r="E230" s="1">
        <v>37324.230000000003</v>
      </c>
      <c r="F230" s="1">
        <v>5957</v>
      </c>
      <c r="G230" s="1">
        <v>7.0999999999999994E-2</v>
      </c>
      <c r="H230" s="1">
        <v>12</v>
      </c>
      <c r="I230" s="1">
        <v>85.9</v>
      </c>
      <c r="J230" s="1">
        <v>0.37</v>
      </c>
      <c r="K230" s="1">
        <v>0</v>
      </c>
      <c r="L230" s="1">
        <v>3.8</v>
      </c>
      <c r="M230" s="1">
        <v>570963.31000000006</v>
      </c>
      <c r="N230" s="1">
        <v>87342.25</v>
      </c>
    </row>
    <row r="231" spans="1:14">
      <c r="A231" s="1" t="s">
        <v>79</v>
      </c>
      <c r="B231" s="3">
        <v>45689</v>
      </c>
      <c r="C231" s="1" t="s">
        <v>15</v>
      </c>
      <c r="D231" s="1" t="s">
        <v>18</v>
      </c>
      <c r="E231" s="1">
        <v>113736</v>
      </c>
      <c r="F231" s="1">
        <v>8961</v>
      </c>
      <c r="G231" s="1">
        <v>0.20200000000000001</v>
      </c>
      <c r="H231" s="1">
        <v>24</v>
      </c>
      <c r="I231" s="1">
        <v>86.2</v>
      </c>
      <c r="J231" s="1">
        <v>21.63</v>
      </c>
      <c r="K231" s="1">
        <v>0</v>
      </c>
      <c r="L231" s="1">
        <v>4</v>
      </c>
      <c r="M231" s="1">
        <v>870937.4</v>
      </c>
      <c r="N231" s="1">
        <v>175282.74</v>
      </c>
    </row>
    <row r="232" spans="1:14">
      <c r="A232" s="1" t="s">
        <v>79</v>
      </c>
      <c r="B232" s="3">
        <v>45717</v>
      </c>
      <c r="C232" s="1" t="s">
        <v>15</v>
      </c>
      <c r="D232" s="1" t="s">
        <v>18</v>
      </c>
      <c r="E232" s="1">
        <v>33173.949999999997</v>
      </c>
      <c r="F232" s="1">
        <v>6545</v>
      </c>
      <c r="G232" s="1">
        <v>0.16900000000000001</v>
      </c>
      <c r="H232" s="1">
        <v>15</v>
      </c>
      <c r="I232" s="1">
        <v>84.4</v>
      </c>
      <c r="J232" s="1">
        <v>2.48</v>
      </c>
      <c r="K232" s="1">
        <v>0</v>
      </c>
      <c r="L232" s="1">
        <v>3.9</v>
      </c>
      <c r="M232" s="1">
        <v>596969.27</v>
      </c>
      <c r="N232" s="1">
        <v>105669.51</v>
      </c>
    </row>
    <row r="233" spans="1:14">
      <c r="A233" s="1" t="s">
        <v>79</v>
      </c>
      <c r="B233" s="3">
        <v>45748</v>
      </c>
      <c r="C233" s="1" t="s">
        <v>15</v>
      </c>
      <c r="D233" s="1" t="s">
        <v>18</v>
      </c>
      <c r="E233" s="1">
        <v>25818.080000000002</v>
      </c>
      <c r="F233" s="1">
        <v>5457</v>
      </c>
      <c r="G233" s="1">
        <v>0</v>
      </c>
      <c r="H233" s="1">
        <v>11</v>
      </c>
      <c r="I233" s="1">
        <v>95.4</v>
      </c>
      <c r="J233" s="1">
        <v>3.36</v>
      </c>
      <c r="K233" s="1">
        <v>0</v>
      </c>
      <c r="L233" s="1">
        <v>3.7</v>
      </c>
      <c r="M233" s="1">
        <v>647512.85</v>
      </c>
      <c r="N233" s="1">
        <v>153835.57</v>
      </c>
    </row>
    <row r="234" spans="1:14">
      <c r="A234" s="1" t="s">
        <v>80</v>
      </c>
      <c r="B234" s="3">
        <v>45658</v>
      </c>
      <c r="C234" s="1" t="s">
        <v>27</v>
      </c>
      <c r="D234" s="1" t="s">
        <v>16</v>
      </c>
      <c r="E234" s="1">
        <v>47241.919999999998</v>
      </c>
      <c r="F234" s="1">
        <v>4264</v>
      </c>
      <c r="G234" s="1">
        <v>6.9000000000000006E-2</v>
      </c>
      <c r="H234" s="1">
        <v>13</v>
      </c>
      <c r="I234" s="1">
        <v>95.3</v>
      </c>
      <c r="J234" s="1">
        <v>0.85</v>
      </c>
      <c r="K234" s="1">
        <v>0</v>
      </c>
      <c r="L234" s="1">
        <v>4.3</v>
      </c>
      <c r="M234" s="1">
        <v>658072.14</v>
      </c>
      <c r="N234" s="1">
        <v>110595.89</v>
      </c>
    </row>
    <row r="235" spans="1:14">
      <c r="A235" s="1" t="s">
        <v>80</v>
      </c>
      <c r="B235" s="3">
        <v>45689</v>
      </c>
      <c r="C235" s="1" t="s">
        <v>27</v>
      </c>
      <c r="D235" s="1" t="s">
        <v>16</v>
      </c>
      <c r="E235" s="1">
        <v>61650.79</v>
      </c>
      <c r="F235" s="1">
        <v>5321</v>
      </c>
      <c r="G235" s="1">
        <v>0.126</v>
      </c>
      <c r="H235" s="1">
        <v>17</v>
      </c>
      <c r="I235" s="1">
        <v>89.2</v>
      </c>
      <c r="J235" s="1">
        <v>2.13</v>
      </c>
      <c r="K235" s="1">
        <v>0</v>
      </c>
      <c r="L235" s="1">
        <v>4</v>
      </c>
      <c r="M235" s="1">
        <v>723305.11</v>
      </c>
      <c r="N235" s="1">
        <v>128468.7</v>
      </c>
    </row>
    <row r="236" spans="1:14">
      <c r="A236" s="1" t="s">
        <v>80</v>
      </c>
      <c r="B236" s="3">
        <v>45717</v>
      </c>
      <c r="C236" s="1" t="s">
        <v>27</v>
      </c>
      <c r="D236" s="1" t="s">
        <v>16</v>
      </c>
      <c r="E236" s="1">
        <v>62582.71</v>
      </c>
      <c r="F236" s="1">
        <v>5479</v>
      </c>
      <c r="G236" s="1">
        <v>4.8000000000000001E-2</v>
      </c>
      <c r="H236" s="1">
        <v>16</v>
      </c>
      <c r="I236" s="1">
        <v>81.2</v>
      </c>
      <c r="J236" s="1">
        <v>1.46</v>
      </c>
      <c r="K236" s="1">
        <v>0</v>
      </c>
      <c r="L236" s="1">
        <v>4.5</v>
      </c>
      <c r="M236" s="1">
        <v>640666.53</v>
      </c>
      <c r="N236" s="1">
        <v>134919.16</v>
      </c>
    </row>
    <row r="237" spans="1:14">
      <c r="A237" s="1" t="s">
        <v>80</v>
      </c>
      <c r="B237" s="3">
        <v>45748</v>
      </c>
      <c r="C237" s="1" t="s">
        <v>27</v>
      </c>
      <c r="D237" s="1" t="s">
        <v>16</v>
      </c>
      <c r="E237" s="1">
        <v>47944.14</v>
      </c>
      <c r="F237" s="1">
        <v>6169</v>
      </c>
      <c r="G237" s="1">
        <v>0.11899999999999999</v>
      </c>
      <c r="H237" s="1">
        <v>17</v>
      </c>
      <c r="I237" s="1">
        <v>92.2</v>
      </c>
      <c r="J237" s="1">
        <v>3.02</v>
      </c>
      <c r="K237" s="1">
        <v>0</v>
      </c>
      <c r="L237" s="1">
        <v>4.0999999999999996</v>
      </c>
      <c r="M237" s="1">
        <v>670629.48</v>
      </c>
      <c r="N237" s="1">
        <v>100140.8</v>
      </c>
    </row>
    <row r="238" spans="1:14">
      <c r="A238" s="1" t="s">
        <v>81</v>
      </c>
      <c r="B238" s="3">
        <v>45658</v>
      </c>
      <c r="C238" s="1" t="s">
        <v>27</v>
      </c>
      <c r="D238" s="1" t="s">
        <v>28</v>
      </c>
      <c r="E238" s="1">
        <v>46495.4</v>
      </c>
      <c r="F238" s="1">
        <v>9908</v>
      </c>
      <c r="G238" s="1">
        <v>0.121</v>
      </c>
      <c r="H238" s="1">
        <v>22</v>
      </c>
      <c r="I238" s="1">
        <v>89.4</v>
      </c>
      <c r="J238" s="1">
        <v>3.22</v>
      </c>
      <c r="K238" s="1">
        <v>0</v>
      </c>
      <c r="L238" s="1">
        <v>3.7</v>
      </c>
      <c r="M238" s="1">
        <v>721079.35</v>
      </c>
      <c r="N238" s="1">
        <v>115295.05</v>
      </c>
    </row>
    <row r="239" spans="1:14">
      <c r="A239" s="1" t="s">
        <v>81</v>
      </c>
      <c r="B239" s="3">
        <v>45689</v>
      </c>
      <c r="C239" s="1" t="s">
        <v>27</v>
      </c>
      <c r="D239" s="1" t="s">
        <v>28</v>
      </c>
      <c r="E239" s="1">
        <v>72961.95</v>
      </c>
      <c r="F239" s="1">
        <v>9996</v>
      </c>
      <c r="G239" s="1">
        <v>0.106</v>
      </c>
      <c r="H239" s="1">
        <v>22</v>
      </c>
      <c r="I239" s="1">
        <v>89.1</v>
      </c>
      <c r="J239" s="1">
        <v>15.66</v>
      </c>
      <c r="K239" s="1">
        <v>0</v>
      </c>
      <c r="L239" s="1">
        <v>3.4</v>
      </c>
      <c r="M239" s="1">
        <v>810355.02</v>
      </c>
      <c r="N239" s="1">
        <v>131510</v>
      </c>
    </row>
    <row r="240" spans="1:14">
      <c r="A240" s="1" t="s">
        <v>81</v>
      </c>
      <c r="B240" s="3">
        <v>45717</v>
      </c>
      <c r="C240" s="1" t="s">
        <v>27</v>
      </c>
      <c r="D240" s="1" t="s">
        <v>28</v>
      </c>
      <c r="E240" s="1">
        <v>59060.05</v>
      </c>
      <c r="F240" s="1">
        <v>9702</v>
      </c>
      <c r="G240" s="1">
        <v>0.20100000000000001</v>
      </c>
      <c r="H240" s="1">
        <v>23</v>
      </c>
      <c r="I240" s="1">
        <v>80.900000000000006</v>
      </c>
      <c r="J240" s="1">
        <v>6.96</v>
      </c>
      <c r="K240" s="1">
        <v>0</v>
      </c>
      <c r="L240" s="1">
        <v>3.2</v>
      </c>
      <c r="M240" s="1">
        <v>761919.25</v>
      </c>
      <c r="N240" s="1">
        <v>111893.06</v>
      </c>
    </row>
    <row r="241" spans="1:14">
      <c r="A241" s="1" t="s">
        <v>81</v>
      </c>
      <c r="B241" s="3">
        <v>45748</v>
      </c>
      <c r="C241" s="1" t="s">
        <v>27</v>
      </c>
      <c r="D241" s="1" t="s">
        <v>28</v>
      </c>
      <c r="E241" s="1">
        <v>26248.1</v>
      </c>
      <c r="F241" s="1">
        <v>9314</v>
      </c>
      <c r="G241" s="1">
        <v>0.186</v>
      </c>
      <c r="H241" s="1">
        <v>21</v>
      </c>
      <c r="I241" s="1">
        <v>83.7</v>
      </c>
      <c r="J241" s="1">
        <v>4.62</v>
      </c>
      <c r="K241" s="1">
        <v>0</v>
      </c>
      <c r="L241" s="1">
        <v>3.3</v>
      </c>
      <c r="M241" s="1">
        <v>737070.18</v>
      </c>
      <c r="N241" s="1">
        <v>117593.97</v>
      </c>
    </row>
    <row r="242" spans="1:14">
      <c r="A242" s="1" t="s">
        <v>82</v>
      </c>
      <c r="B242" s="3">
        <v>45658</v>
      </c>
      <c r="C242" s="1" t="s">
        <v>24</v>
      </c>
      <c r="D242" s="1" t="s">
        <v>21</v>
      </c>
      <c r="E242" s="1">
        <v>69900.12</v>
      </c>
      <c r="F242" s="1">
        <v>8055</v>
      </c>
      <c r="G242" s="1">
        <v>0.28100000000000003</v>
      </c>
      <c r="H242" s="1">
        <v>22</v>
      </c>
      <c r="I242" s="1">
        <v>85.6</v>
      </c>
      <c r="J242" s="1">
        <v>10.68</v>
      </c>
      <c r="K242" s="1">
        <v>1</v>
      </c>
      <c r="L242" s="1">
        <v>2.9</v>
      </c>
      <c r="M242" s="1">
        <v>776992.93</v>
      </c>
      <c r="N242" s="1">
        <v>101598.32</v>
      </c>
    </row>
    <row r="243" spans="1:14">
      <c r="A243" s="1" t="s">
        <v>82</v>
      </c>
      <c r="B243" s="3">
        <v>45689</v>
      </c>
      <c r="C243" s="1" t="s">
        <v>24</v>
      </c>
      <c r="D243" s="1" t="s">
        <v>21</v>
      </c>
      <c r="E243" s="1">
        <v>51781.599999999999</v>
      </c>
      <c r="F243" s="1">
        <v>5648</v>
      </c>
      <c r="G243" s="1">
        <v>5.8999999999999997E-2</v>
      </c>
      <c r="H243" s="1">
        <v>13</v>
      </c>
      <c r="I243" s="1">
        <v>85.5</v>
      </c>
      <c r="J243" s="1">
        <v>4.04</v>
      </c>
      <c r="K243" s="1">
        <v>0</v>
      </c>
      <c r="L243" s="1">
        <v>3.7</v>
      </c>
      <c r="M243" s="1">
        <v>676337.41</v>
      </c>
      <c r="N243" s="1">
        <v>104355.77</v>
      </c>
    </row>
    <row r="244" spans="1:14">
      <c r="A244" s="1" t="s">
        <v>82</v>
      </c>
      <c r="B244" s="3">
        <v>45717</v>
      </c>
      <c r="C244" s="1" t="s">
        <v>24</v>
      </c>
      <c r="D244" s="1" t="s">
        <v>21</v>
      </c>
      <c r="E244" s="1">
        <v>70799.64</v>
      </c>
      <c r="F244" s="1">
        <v>10076</v>
      </c>
      <c r="G244" s="1">
        <v>0.152</v>
      </c>
      <c r="H244" s="1">
        <v>24</v>
      </c>
      <c r="I244" s="1">
        <v>84.8</v>
      </c>
      <c r="J244" s="1">
        <v>1.87</v>
      </c>
      <c r="K244" s="1">
        <v>0</v>
      </c>
      <c r="L244" s="1">
        <v>3.5</v>
      </c>
      <c r="M244" s="1">
        <v>828219.67</v>
      </c>
      <c r="N244" s="1">
        <v>179806.87</v>
      </c>
    </row>
    <row r="245" spans="1:14">
      <c r="A245" s="1" t="s">
        <v>82</v>
      </c>
      <c r="B245" s="3">
        <v>45748</v>
      </c>
      <c r="C245" s="1" t="s">
        <v>24</v>
      </c>
      <c r="D245" s="1" t="s">
        <v>21</v>
      </c>
      <c r="E245" s="1">
        <v>53546.34</v>
      </c>
      <c r="F245" s="1">
        <v>8004</v>
      </c>
      <c r="G245" s="1">
        <v>0</v>
      </c>
      <c r="H245" s="1">
        <v>21</v>
      </c>
      <c r="I245" s="1">
        <v>95.2</v>
      </c>
      <c r="J245" s="1">
        <v>2.83</v>
      </c>
      <c r="K245" s="1">
        <v>0</v>
      </c>
      <c r="L245" s="1">
        <v>3</v>
      </c>
      <c r="M245" s="1">
        <v>763159.92</v>
      </c>
      <c r="N245" s="1">
        <v>177104.87</v>
      </c>
    </row>
    <row r="246" spans="1:14">
      <c r="A246" s="1" t="s">
        <v>83</v>
      </c>
      <c r="B246" s="3">
        <v>45658</v>
      </c>
      <c r="C246" s="1" t="s">
        <v>15</v>
      </c>
      <c r="D246" s="1" t="s">
        <v>18</v>
      </c>
      <c r="E246" s="1">
        <v>76942.2</v>
      </c>
      <c r="F246" s="1">
        <v>8934</v>
      </c>
      <c r="G246" s="1">
        <v>8.4000000000000005E-2</v>
      </c>
      <c r="H246" s="1">
        <v>20</v>
      </c>
      <c r="I246" s="1">
        <v>91</v>
      </c>
      <c r="J246" s="1">
        <v>0.95</v>
      </c>
      <c r="K246" s="1">
        <v>0</v>
      </c>
      <c r="L246" s="1">
        <v>3.2</v>
      </c>
      <c r="M246" s="1">
        <v>802001.68</v>
      </c>
      <c r="N246" s="1">
        <v>159715.82</v>
      </c>
    </row>
    <row r="247" spans="1:14">
      <c r="A247" s="1" t="s">
        <v>83</v>
      </c>
      <c r="B247" s="3">
        <v>45689</v>
      </c>
      <c r="C247" s="1" t="s">
        <v>15</v>
      </c>
      <c r="D247" s="1" t="s">
        <v>18</v>
      </c>
      <c r="E247" s="1">
        <v>48060.78</v>
      </c>
      <c r="F247" s="1">
        <v>8733</v>
      </c>
      <c r="G247" s="1">
        <v>0</v>
      </c>
      <c r="H247" s="1">
        <v>20</v>
      </c>
      <c r="I247" s="1">
        <v>89.9</v>
      </c>
      <c r="J247" s="1">
        <v>0.8</v>
      </c>
      <c r="K247" s="1">
        <v>0</v>
      </c>
      <c r="L247" s="1">
        <v>3.4</v>
      </c>
      <c r="M247" s="1">
        <v>750471.34</v>
      </c>
      <c r="N247" s="1">
        <v>133788.04</v>
      </c>
    </row>
    <row r="248" spans="1:14">
      <c r="A248" s="1" t="s">
        <v>83</v>
      </c>
      <c r="B248" s="3">
        <v>45717</v>
      </c>
      <c r="C248" s="1" t="s">
        <v>15</v>
      </c>
      <c r="D248" s="1" t="s">
        <v>18</v>
      </c>
      <c r="E248" s="1">
        <v>57390.04</v>
      </c>
      <c r="F248" s="1">
        <v>7374</v>
      </c>
      <c r="G248" s="1">
        <v>0.21</v>
      </c>
      <c r="H248" s="1">
        <v>21</v>
      </c>
      <c r="I248" s="1">
        <v>91.8</v>
      </c>
      <c r="J248" s="1">
        <v>0.2</v>
      </c>
      <c r="K248" s="1">
        <v>0</v>
      </c>
      <c r="L248" s="1">
        <v>3.1</v>
      </c>
      <c r="M248" s="1">
        <v>679230.86</v>
      </c>
      <c r="N248" s="1">
        <v>106927.58</v>
      </c>
    </row>
    <row r="249" spans="1:14">
      <c r="A249" s="1" t="s">
        <v>83</v>
      </c>
      <c r="B249" s="3">
        <v>45748</v>
      </c>
      <c r="C249" s="1" t="s">
        <v>15</v>
      </c>
      <c r="D249" s="1" t="s">
        <v>18</v>
      </c>
      <c r="E249" s="1">
        <v>21536.18</v>
      </c>
      <c r="F249" s="1">
        <v>8119</v>
      </c>
      <c r="G249" s="1">
        <v>0.22700000000000001</v>
      </c>
      <c r="H249" s="1">
        <v>20</v>
      </c>
      <c r="I249" s="1">
        <v>90.4</v>
      </c>
      <c r="J249" s="1">
        <v>1.7</v>
      </c>
      <c r="K249" s="1">
        <v>0</v>
      </c>
      <c r="L249" s="1">
        <v>3.3</v>
      </c>
      <c r="M249" s="1">
        <v>679888.74</v>
      </c>
      <c r="N249" s="1">
        <v>83406.89</v>
      </c>
    </row>
    <row r="250" spans="1:14">
      <c r="A250" s="1" t="s">
        <v>84</v>
      </c>
      <c r="B250" s="3">
        <v>45658</v>
      </c>
      <c r="C250" s="1" t="s">
        <v>20</v>
      </c>
      <c r="D250" s="1" t="s">
        <v>18</v>
      </c>
      <c r="E250" s="1">
        <v>40923.67</v>
      </c>
      <c r="F250" s="1">
        <v>3875</v>
      </c>
      <c r="G250" s="1">
        <v>0.15</v>
      </c>
      <c r="H250" s="1">
        <v>10</v>
      </c>
      <c r="I250" s="1">
        <v>96.1</v>
      </c>
      <c r="J250" s="1">
        <v>3.36</v>
      </c>
      <c r="K250" s="1">
        <v>0</v>
      </c>
      <c r="L250" s="1">
        <v>3.8</v>
      </c>
      <c r="M250" s="1">
        <v>606783.67000000004</v>
      </c>
      <c r="N250" s="1">
        <v>74515.87</v>
      </c>
    </row>
    <row r="251" spans="1:14">
      <c r="A251" s="1" t="s">
        <v>84</v>
      </c>
      <c r="B251" s="3">
        <v>45689</v>
      </c>
      <c r="C251" s="1" t="s">
        <v>20</v>
      </c>
      <c r="D251" s="1" t="s">
        <v>18</v>
      </c>
      <c r="E251" s="1">
        <v>72932.55</v>
      </c>
      <c r="F251" s="1">
        <v>5765</v>
      </c>
      <c r="G251" s="1">
        <v>2.5999999999999999E-2</v>
      </c>
      <c r="H251" s="1">
        <v>17</v>
      </c>
      <c r="I251" s="1">
        <v>81.8</v>
      </c>
      <c r="J251" s="1">
        <v>5.0999999999999996</v>
      </c>
      <c r="K251" s="1">
        <v>0</v>
      </c>
      <c r="L251" s="1">
        <v>3.6</v>
      </c>
      <c r="M251" s="1">
        <v>642751.42000000004</v>
      </c>
      <c r="N251" s="1">
        <v>131942.15</v>
      </c>
    </row>
    <row r="252" spans="1:14">
      <c r="A252" s="1" t="s">
        <v>84</v>
      </c>
      <c r="B252" s="3">
        <v>45717</v>
      </c>
      <c r="C252" s="1" t="s">
        <v>20</v>
      </c>
      <c r="D252" s="1" t="s">
        <v>18</v>
      </c>
      <c r="E252" s="1">
        <v>38361.93</v>
      </c>
      <c r="F252" s="1">
        <v>6322</v>
      </c>
      <c r="G252" s="1">
        <v>0.27300000000000002</v>
      </c>
      <c r="H252" s="1">
        <v>15</v>
      </c>
      <c r="I252" s="1">
        <v>88.4</v>
      </c>
      <c r="J252" s="1">
        <v>0.83</v>
      </c>
      <c r="K252" s="1">
        <v>0</v>
      </c>
      <c r="L252" s="1">
        <v>4</v>
      </c>
      <c r="M252" s="1">
        <v>647953.78</v>
      </c>
      <c r="N252" s="1">
        <v>118497.43</v>
      </c>
    </row>
    <row r="253" spans="1:14">
      <c r="A253" s="1" t="s">
        <v>84</v>
      </c>
      <c r="B253" s="3">
        <v>45748</v>
      </c>
      <c r="C253" s="1" t="s">
        <v>20</v>
      </c>
      <c r="D253" s="1" t="s">
        <v>18</v>
      </c>
      <c r="E253" s="1">
        <v>97480.94</v>
      </c>
      <c r="F253" s="1">
        <v>6840</v>
      </c>
      <c r="G253" s="1">
        <v>8.6999999999999994E-2</v>
      </c>
      <c r="H253" s="1">
        <v>14</v>
      </c>
      <c r="I253" s="1">
        <v>79.2</v>
      </c>
      <c r="J253" s="1">
        <v>1.1399999999999999</v>
      </c>
      <c r="K253" s="1">
        <v>0</v>
      </c>
      <c r="L253" s="1">
        <v>4</v>
      </c>
      <c r="M253" s="1">
        <v>729440.45</v>
      </c>
      <c r="N253" s="1">
        <v>87614.29</v>
      </c>
    </row>
    <row r="254" spans="1:14">
      <c r="A254" s="1" t="s">
        <v>85</v>
      </c>
      <c r="B254" s="3">
        <v>45658</v>
      </c>
      <c r="C254" s="1" t="s">
        <v>24</v>
      </c>
      <c r="D254" s="1" t="s">
        <v>21</v>
      </c>
      <c r="E254" s="1">
        <v>81801.8</v>
      </c>
      <c r="F254" s="1">
        <v>6782</v>
      </c>
      <c r="G254" s="1">
        <v>0.05</v>
      </c>
      <c r="H254" s="1">
        <v>16</v>
      </c>
      <c r="I254" s="1">
        <v>99</v>
      </c>
      <c r="J254" s="1">
        <v>9.5399999999999991</v>
      </c>
      <c r="K254" s="1">
        <v>0</v>
      </c>
      <c r="L254" s="1">
        <v>3.7</v>
      </c>
      <c r="M254" s="1">
        <v>764949</v>
      </c>
      <c r="N254" s="1">
        <v>148322.43</v>
      </c>
    </row>
    <row r="255" spans="1:14">
      <c r="A255" s="1" t="s">
        <v>85</v>
      </c>
      <c r="B255" s="3">
        <v>45689</v>
      </c>
      <c r="C255" s="1" t="s">
        <v>24</v>
      </c>
      <c r="D255" s="1" t="s">
        <v>21</v>
      </c>
      <c r="E255" s="1">
        <v>63582.11</v>
      </c>
      <c r="F255" s="1">
        <v>6856</v>
      </c>
      <c r="G255" s="1">
        <v>7.3999999999999996E-2</v>
      </c>
      <c r="H255" s="1">
        <v>17</v>
      </c>
      <c r="I255" s="1">
        <v>89.5</v>
      </c>
      <c r="J255" s="1">
        <v>5.48</v>
      </c>
      <c r="K255" s="1">
        <v>0</v>
      </c>
      <c r="L255" s="1">
        <v>3.2</v>
      </c>
      <c r="M255" s="1">
        <v>799046.94</v>
      </c>
      <c r="N255" s="1">
        <v>144553.64000000001</v>
      </c>
    </row>
    <row r="256" spans="1:14">
      <c r="A256" s="1" t="s">
        <v>85</v>
      </c>
      <c r="B256" s="3">
        <v>45717</v>
      </c>
      <c r="C256" s="1" t="s">
        <v>24</v>
      </c>
      <c r="D256" s="1" t="s">
        <v>21</v>
      </c>
      <c r="E256" s="1">
        <v>75412.740000000005</v>
      </c>
      <c r="F256" s="1">
        <v>5641</v>
      </c>
      <c r="G256" s="1">
        <v>5.8999999999999997E-2</v>
      </c>
      <c r="H256" s="1">
        <v>13</v>
      </c>
      <c r="I256" s="1">
        <v>87.9</v>
      </c>
      <c r="J256" s="1">
        <v>0.84</v>
      </c>
      <c r="K256" s="1">
        <v>0</v>
      </c>
      <c r="L256" s="1">
        <v>3.6</v>
      </c>
      <c r="M256" s="1">
        <v>720079.54</v>
      </c>
      <c r="N256" s="1">
        <v>119499.47</v>
      </c>
    </row>
    <row r="257" spans="1:14">
      <c r="A257" s="1" t="s">
        <v>85</v>
      </c>
      <c r="B257" s="3">
        <v>45748</v>
      </c>
      <c r="C257" s="1" t="s">
        <v>24</v>
      </c>
      <c r="D257" s="1" t="s">
        <v>21</v>
      </c>
      <c r="E257" s="1">
        <v>36290.080000000002</v>
      </c>
      <c r="F257" s="1">
        <v>5787</v>
      </c>
      <c r="G257" s="1">
        <v>0</v>
      </c>
      <c r="H257" s="1">
        <v>17</v>
      </c>
      <c r="I257" s="1">
        <v>88.3</v>
      </c>
      <c r="J257" s="1">
        <v>4.1900000000000004</v>
      </c>
      <c r="K257" s="1">
        <v>0</v>
      </c>
      <c r="L257" s="1">
        <v>4.0999999999999996</v>
      </c>
      <c r="M257" s="1">
        <v>612390.14</v>
      </c>
      <c r="N257" s="1">
        <v>108985.74</v>
      </c>
    </row>
    <row r="258" spans="1:14">
      <c r="A258" s="1" t="s">
        <v>86</v>
      </c>
      <c r="B258" s="3">
        <v>45658</v>
      </c>
      <c r="C258" s="1" t="s">
        <v>24</v>
      </c>
      <c r="D258" s="1" t="s">
        <v>28</v>
      </c>
      <c r="E258" s="1">
        <v>65272.58</v>
      </c>
      <c r="F258" s="1">
        <v>8165</v>
      </c>
      <c r="G258" s="1">
        <v>5.0999999999999997E-2</v>
      </c>
      <c r="H258" s="1">
        <v>19</v>
      </c>
      <c r="I258" s="1">
        <v>87.8</v>
      </c>
      <c r="J258" s="1">
        <v>1.26</v>
      </c>
      <c r="K258" s="1">
        <v>1</v>
      </c>
      <c r="L258" s="1">
        <v>4.3</v>
      </c>
      <c r="M258" s="1">
        <v>840108.12</v>
      </c>
      <c r="N258" s="1">
        <v>126587.01</v>
      </c>
    </row>
    <row r="259" spans="1:14">
      <c r="A259" s="1" t="s">
        <v>86</v>
      </c>
      <c r="B259" s="3">
        <v>45689</v>
      </c>
      <c r="C259" s="1" t="s">
        <v>24</v>
      </c>
      <c r="D259" s="1" t="s">
        <v>28</v>
      </c>
      <c r="E259" s="1">
        <v>28670.43</v>
      </c>
      <c r="F259" s="1">
        <v>7574</v>
      </c>
      <c r="G259" s="1">
        <v>0.114</v>
      </c>
      <c r="H259" s="1">
        <v>19</v>
      </c>
      <c r="I259" s="1">
        <v>82.7</v>
      </c>
      <c r="J259" s="1">
        <v>2.74</v>
      </c>
      <c r="K259" s="1">
        <v>0</v>
      </c>
      <c r="L259" s="1">
        <v>4.5999999999999996</v>
      </c>
      <c r="M259" s="1">
        <v>697888.09</v>
      </c>
      <c r="N259" s="1">
        <v>116249.87</v>
      </c>
    </row>
    <row r="260" spans="1:14">
      <c r="A260" s="1" t="s">
        <v>86</v>
      </c>
      <c r="B260" s="3">
        <v>45717</v>
      </c>
      <c r="C260" s="1" t="s">
        <v>24</v>
      </c>
      <c r="D260" s="1" t="s">
        <v>28</v>
      </c>
      <c r="E260" s="1">
        <v>44189.34</v>
      </c>
      <c r="F260" s="1">
        <v>8634</v>
      </c>
      <c r="G260" s="1">
        <v>0.14299999999999999</v>
      </c>
      <c r="H260" s="1">
        <v>19</v>
      </c>
      <c r="I260" s="1">
        <v>87.5</v>
      </c>
      <c r="J260" s="1">
        <v>3.69</v>
      </c>
      <c r="K260" s="1">
        <v>0</v>
      </c>
      <c r="L260" s="1">
        <v>4.4000000000000004</v>
      </c>
      <c r="M260" s="1">
        <v>746115.59</v>
      </c>
      <c r="N260" s="1">
        <v>94662.96</v>
      </c>
    </row>
    <row r="261" spans="1:14">
      <c r="A261" s="1" t="s">
        <v>86</v>
      </c>
      <c r="B261" s="3">
        <v>45748</v>
      </c>
      <c r="C261" s="1" t="s">
        <v>24</v>
      </c>
      <c r="D261" s="1" t="s">
        <v>28</v>
      </c>
      <c r="E261" s="1">
        <v>38397.82</v>
      </c>
      <c r="F261" s="1">
        <v>7836</v>
      </c>
      <c r="G261" s="1">
        <v>7.0000000000000001E-3</v>
      </c>
      <c r="H261" s="1">
        <v>21</v>
      </c>
      <c r="I261" s="1">
        <v>92.2</v>
      </c>
      <c r="J261" s="1">
        <v>1.82</v>
      </c>
      <c r="K261" s="1">
        <v>0</v>
      </c>
      <c r="L261" s="1">
        <v>3.6</v>
      </c>
      <c r="M261" s="1">
        <v>776110.32</v>
      </c>
      <c r="N261" s="1">
        <v>139676.21</v>
      </c>
    </row>
    <row r="262" spans="1:14">
      <c r="A262" s="1" t="s">
        <v>87</v>
      </c>
      <c r="B262" s="3">
        <v>45658</v>
      </c>
      <c r="C262" s="1" t="s">
        <v>27</v>
      </c>
      <c r="D262" s="1" t="s">
        <v>18</v>
      </c>
      <c r="E262" s="1">
        <v>14519.37</v>
      </c>
      <c r="F262" s="1">
        <v>3047</v>
      </c>
      <c r="G262" s="1">
        <v>0.13500000000000001</v>
      </c>
      <c r="H262" s="1">
        <v>10</v>
      </c>
      <c r="I262" s="1">
        <v>90.3</v>
      </c>
      <c r="J262" s="1">
        <v>6.62</v>
      </c>
      <c r="K262" s="1">
        <v>0</v>
      </c>
      <c r="L262" s="1">
        <v>4.2</v>
      </c>
      <c r="M262" s="1">
        <v>528852.62</v>
      </c>
      <c r="N262" s="1">
        <v>68426.210000000006</v>
      </c>
    </row>
    <row r="263" spans="1:14">
      <c r="A263" s="1" t="s">
        <v>87</v>
      </c>
      <c r="B263" s="3">
        <v>45689</v>
      </c>
      <c r="C263" s="1" t="s">
        <v>27</v>
      </c>
      <c r="D263" s="1" t="s">
        <v>18</v>
      </c>
      <c r="E263" s="1">
        <v>43288.2</v>
      </c>
      <c r="F263" s="1">
        <v>4783</v>
      </c>
      <c r="G263" s="1">
        <v>0.16900000000000001</v>
      </c>
      <c r="H263" s="1">
        <v>13</v>
      </c>
      <c r="I263" s="1">
        <v>87.3</v>
      </c>
      <c r="J263" s="1">
        <v>3.36</v>
      </c>
      <c r="K263" s="1">
        <v>0</v>
      </c>
      <c r="L263" s="1">
        <v>4.2</v>
      </c>
      <c r="M263" s="1">
        <v>605751.32999999996</v>
      </c>
      <c r="N263" s="1">
        <v>60685.53</v>
      </c>
    </row>
    <row r="264" spans="1:14">
      <c r="A264" s="1" t="s">
        <v>87</v>
      </c>
      <c r="B264" s="3">
        <v>45717</v>
      </c>
      <c r="C264" s="1" t="s">
        <v>27</v>
      </c>
      <c r="D264" s="1" t="s">
        <v>18</v>
      </c>
      <c r="E264" s="1">
        <v>51450.55</v>
      </c>
      <c r="F264" s="1">
        <v>4902</v>
      </c>
      <c r="G264" s="1">
        <v>8.5999999999999993E-2</v>
      </c>
      <c r="H264" s="1">
        <v>11</v>
      </c>
      <c r="I264" s="1">
        <v>83.7</v>
      </c>
      <c r="J264" s="1">
        <v>6.92</v>
      </c>
      <c r="K264" s="1">
        <v>1</v>
      </c>
      <c r="L264" s="1">
        <v>4.2</v>
      </c>
      <c r="M264" s="1">
        <v>677640.65</v>
      </c>
      <c r="N264" s="1">
        <v>111610.89</v>
      </c>
    </row>
    <row r="265" spans="1:14">
      <c r="A265" s="1" t="s">
        <v>87</v>
      </c>
      <c r="B265" s="3">
        <v>45748</v>
      </c>
      <c r="C265" s="1" t="s">
        <v>27</v>
      </c>
      <c r="D265" s="1" t="s">
        <v>18</v>
      </c>
      <c r="E265" s="1">
        <v>58688.26</v>
      </c>
      <c r="F265" s="1">
        <v>4022</v>
      </c>
      <c r="G265" s="1">
        <v>0.217</v>
      </c>
      <c r="H265" s="1">
        <v>12</v>
      </c>
      <c r="I265" s="1">
        <v>93.8</v>
      </c>
      <c r="J265" s="1">
        <v>11.78</v>
      </c>
      <c r="K265" s="1">
        <v>0</v>
      </c>
      <c r="L265" s="1">
        <v>3.7</v>
      </c>
      <c r="M265" s="1">
        <v>636613.23</v>
      </c>
      <c r="N265" s="1">
        <v>78908.350000000006</v>
      </c>
    </row>
    <row r="266" spans="1:14">
      <c r="A266" s="1" t="s">
        <v>88</v>
      </c>
      <c r="B266" s="3">
        <v>45658</v>
      </c>
      <c r="C266" s="1" t="s">
        <v>15</v>
      </c>
      <c r="D266" s="1" t="s">
        <v>18</v>
      </c>
      <c r="E266" s="1">
        <v>58981.91</v>
      </c>
      <c r="F266" s="1">
        <v>7324</v>
      </c>
      <c r="G266" s="1">
        <v>9.4E-2</v>
      </c>
      <c r="H266" s="1">
        <v>15</v>
      </c>
      <c r="I266" s="1">
        <v>95.8</v>
      </c>
      <c r="J266" s="1">
        <v>0.5</v>
      </c>
      <c r="K266" s="1">
        <v>0</v>
      </c>
      <c r="L266" s="1">
        <v>3.5</v>
      </c>
      <c r="M266" s="1">
        <v>708985.19</v>
      </c>
      <c r="N266" s="1">
        <v>125368.16</v>
      </c>
    </row>
    <row r="267" spans="1:14">
      <c r="A267" s="1" t="s">
        <v>88</v>
      </c>
      <c r="B267" s="3">
        <v>45689</v>
      </c>
      <c r="C267" s="1" t="s">
        <v>15</v>
      </c>
      <c r="D267" s="1" t="s">
        <v>18</v>
      </c>
      <c r="E267" s="1">
        <v>73454.539999999994</v>
      </c>
      <c r="F267" s="1">
        <v>8129</v>
      </c>
      <c r="G267" s="1">
        <v>0.21099999999999999</v>
      </c>
      <c r="H267" s="1">
        <v>20</v>
      </c>
      <c r="I267" s="1">
        <v>85.2</v>
      </c>
      <c r="J267" s="1">
        <v>0.88</v>
      </c>
      <c r="K267" s="1">
        <v>0</v>
      </c>
      <c r="L267" s="1">
        <v>3.7</v>
      </c>
      <c r="M267" s="1">
        <v>767792.94</v>
      </c>
      <c r="N267" s="1">
        <v>96235.77</v>
      </c>
    </row>
    <row r="268" spans="1:14">
      <c r="A268" s="1" t="s">
        <v>88</v>
      </c>
      <c r="B268" s="3">
        <v>45717</v>
      </c>
      <c r="C268" s="1" t="s">
        <v>15</v>
      </c>
      <c r="D268" s="1" t="s">
        <v>18</v>
      </c>
      <c r="E268" s="1">
        <v>56602.39</v>
      </c>
      <c r="F268" s="1">
        <v>7969</v>
      </c>
      <c r="G268" s="1">
        <v>0.17</v>
      </c>
      <c r="H268" s="1">
        <v>21</v>
      </c>
      <c r="I268" s="1">
        <v>88.3</v>
      </c>
      <c r="J268" s="1">
        <v>2.25</v>
      </c>
      <c r="K268" s="1">
        <v>0</v>
      </c>
      <c r="L268" s="1">
        <v>3.7</v>
      </c>
      <c r="M268" s="1">
        <v>745580.51</v>
      </c>
      <c r="N268" s="1">
        <v>116273.68</v>
      </c>
    </row>
    <row r="269" spans="1:14">
      <c r="A269" s="1" t="s">
        <v>88</v>
      </c>
      <c r="B269" s="3">
        <v>45748</v>
      </c>
      <c r="C269" s="1" t="s">
        <v>15</v>
      </c>
      <c r="D269" s="1" t="s">
        <v>18</v>
      </c>
      <c r="E269" s="1">
        <v>67722.289999999994</v>
      </c>
      <c r="F269" s="1">
        <v>7240</v>
      </c>
      <c r="G269" s="1">
        <v>2.5999999999999999E-2</v>
      </c>
      <c r="H269" s="1">
        <v>15</v>
      </c>
      <c r="I269" s="1">
        <v>92.9</v>
      </c>
      <c r="J269" s="1">
        <v>0.28999999999999998</v>
      </c>
      <c r="K269" s="1">
        <v>0</v>
      </c>
      <c r="L269" s="1">
        <v>3.5</v>
      </c>
      <c r="M269" s="1">
        <v>762328.31</v>
      </c>
      <c r="N269" s="1">
        <v>159158.19</v>
      </c>
    </row>
    <row r="270" spans="1:14">
      <c r="A270" s="1" t="s">
        <v>89</v>
      </c>
      <c r="B270" s="3">
        <v>45658</v>
      </c>
      <c r="C270" s="1" t="s">
        <v>15</v>
      </c>
      <c r="D270" s="1" t="s">
        <v>28</v>
      </c>
      <c r="E270" s="1">
        <v>48752.92</v>
      </c>
      <c r="F270" s="1">
        <v>8052</v>
      </c>
      <c r="G270" s="1">
        <v>0.106</v>
      </c>
      <c r="H270" s="1">
        <v>16</v>
      </c>
      <c r="I270" s="1">
        <v>94.9</v>
      </c>
      <c r="J270" s="1">
        <v>0.65</v>
      </c>
      <c r="K270" s="1">
        <v>0</v>
      </c>
      <c r="L270" s="1">
        <v>3.6</v>
      </c>
      <c r="M270" s="1">
        <v>660633.99</v>
      </c>
      <c r="N270" s="1">
        <v>118768.66</v>
      </c>
    </row>
    <row r="271" spans="1:14">
      <c r="A271" s="1" t="s">
        <v>89</v>
      </c>
      <c r="B271" s="3">
        <v>45689</v>
      </c>
      <c r="C271" s="1" t="s">
        <v>15</v>
      </c>
      <c r="D271" s="1" t="s">
        <v>28</v>
      </c>
      <c r="E271" s="1">
        <v>23914.97</v>
      </c>
      <c r="F271" s="1">
        <v>8018</v>
      </c>
      <c r="G271" s="1">
        <v>0.13900000000000001</v>
      </c>
      <c r="H271" s="1">
        <v>20</v>
      </c>
      <c r="I271" s="1">
        <v>89</v>
      </c>
      <c r="J271" s="1">
        <v>0.2</v>
      </c>
      <c r="K271" s="1">
        <v>0</v>
      </c>
      <c r="L271" s="1">
        <v>3.5</v>
      </c>
      <c r="M271" s="1">
        <v>739374.56</v>
      </c>
      <c r="N271" s="1">
        <v>121032.29</v>
      </c>
    </row>
    <row r="272" spans="1:14">
      <c r="A272" s="1" t="s">
        <v>89</v>
      </c>
      <c r="B272" s="3">
        <v>45717</v>
      </c>
      <c r="C272" s="1" t="s">
        <v>15</v>
      </c>
      <c r="D272" s="1" t="s">
        <v>28</v>
      </c>
      <c r="E272" s="1">
        <v>61995.3</v>
      </c>
      <c r="F272" s="1">
        <v>10192</v>
      </c>
      <c r="G272" s="1">
        <v>0.19800000000000001</v>
      </c>
      <c r="H272" s="1">
        <v>21</v>
      </c>
      <c r="I272" s="1">
        <v>87.6</v>
      </c>
      <c r="J272" s="1">
        <v>3.63</v>
      </c>
      <c r="K272" s="1">
        <v>1</v>
      </c>
      <c r="L272" s="1">
        <v>3.8</v>
      </c>
      <c r="M272" s="1">
        <v>799756.46</v>
      </c>
      <c r="N272" s="1">
        <v>105052.93</v>
      </c>
    </row>
    <row r="273" spans="1:14">
      <c r="A273" s="1" t="s">
        <v>89</v>
      </c>
      <c r="B273" s="3">
        <v>45748</v>
      </c>
      <c r="C273" s="1" t="s">
        <v>15</v>
      </c>
      <c r="D273" s="1" t="s">
        <v>28</v>
      </c>
      <c r="E273" s="1">
        <v>29344.93</v>
      </c>
      <c r="F273" s="1">
        <v>7446</v>
      </c>
      <c r="G273" s="1">
        <v>0.111</v>
      </c>
      <c r="H273" s="1">
        <v>15</v>
      </c>
      <c r="I273" s="1">
        <v>86.2</v>
      </c>
      <c r="J273" s="1">
        <v>0.2</v>
      </c>
      <c r="K273" s="1">
        <v>0</v>
      </c>
      <c r="L273" s="1">
        <v>3.2</v>
      </c>
      <c r="M273" s="1">
        <v>593343</v>
      </c>
      <c r="N273" s="1">
        <v>82832.240000000005</v>
      </c>
    </row>
    <row r="274" spans="1:14">
      <c r="A274" s="1" t="s">
        <v>90</v>
      </c>
      <c r="B274" s="3">
        <v>45658</v>
      </c>
      <c r="C274" s="1" t="s">
        <v>27</v>
      </c>
      <c r="D274" s="1" t="s">
        <v>18</v>
      </c>
      <c r="E274" s="1">
        <v>50532.17</v>
      </c>
      <c r="F274" s="1">
        <v>5689</v>
      </c>
      <c r="G274" s="1">
        <v>5.1999999999999998E-2</v>
      </c>
      <c r="H274" s="1">
        <v>17</v>
      </c>
      <c r="I274" s="1">
        <v>85.6</v>
      </c>
      <c r="J274" s="1">
        <v>6.23</v>
      </c>
      <c r="K274" s="1">
        <v>0</v>
      </c>
      <c r="L274" s="1">
        <v>3.3</v>
      </c>
      <c r="M274" s="1">
        <v>645039.97</v>
      </c>
      <c r="N274" s="1">
        <v>83093.33</v>
      </c>
    </row>
    <row r="275" spans="1:14">
      <c r="A275" s="1" t="s">
        <v>90</v>
      </c>
      <c r="B275" s="3">
        <v>45689</v>
      </c>
      <c r="C275" s="1" t="s">
        <v>27</v>
      </c>
      <c r="D275" s="1" t="s">
        <v>18</v>
      </c>
      <c r="E275" s="1">
        <v>17562.57</v>
      </c>
      <c r="F275" s="1">
        <v>3326</v>
      </c>
      <c r="G275" s="1">
        <v>0.153</v>
      </c>
      <c r="H275" s="1">
        <v>14</v>
      </c>
      <c r="I275" s="1">
        <v>88.1</v>
      </c>
      <c r="J275" s="1">
        <v>1.04</v>
      </c>
      <c r="K275" s="1">
        <v>0</v>
      </c>
      <c r="L275" s="1">
        <v>3.1</v>
      </c>
      <c r="M275" s="1">
        <v>561597.32999999996</v>
      </c>
      <c r="N275" s="1">
        <v>75072.75</v>
      </c>
    </row>
    <row r="276" spans="1:14">
      <c r="A276" s="1" t="s">
        <v>90</v>
      </c>
      <c r="B276" s="3">
        <v>45717</v>
      </c>
      <c r="C276" s="1" t="s">
        <v>27</v>
      </c>
      <c r="D276" s="1" t="s">
        <v>18</v>
      </c>
      <c r="E276" s="1">
        <v>47648.71</v>
      </c>
      <c r="F276" s="1">
        <v>5767</v>
      </c>
      <c r="G276" s="1">
        <v>0.14099999999999999</v>
      </c>
      <c r="H276" s="1">
        <v>17</v>
      </c>
      <c r="I276" s="1">
        <v>89.8</v>
      </c>
      <c r="J276" s="1">
        <v>1.76</v>
      </c>
      <c r="K276" s="1">
        <v>0</v>
      </c>
      <c r="L276" s="1">
        <v>3.1</v>
      </c>
      <c r="M276" s="1">
        <v>635837.74</v>
      </c>
      <c r="N276" s="1">
        <v>114740.64</v>
      </c>
    </row>
    <row r="277" spans="1:14">
      <c r="A277" s="1" t="s">
        <v>90</v>
      </c>
      <c r="B277" s="3">
        <v>45748</v>
      </c>
      <c r="C277" s="1" t="s">
        <v>27</v>
      </c>
      <c r="D277" s="1" t="s">
        <v>18</v>
      </c>
      <c r="E277" s="1">
        <v>38297.58</v>
      </c>
      <c r="F277" s="1">
        <v>5893</v>
      </c>
      <c r="G277" s="1">
        <v>0.247</v>
      </c>
      <c r="H277" s="1">
        <v>18</v>
      </c>
      <c r="I277" s="1">
        <v>77.599999999999994</v>
      </c>
      <c r="J277" s="1">
        <v>2.86</v>
      </c>
      <c r="K277" s="1">
        <v>0</v>
      </c>
      <c r="L277" s="1">
        <v>3</v>
      </c>
      <c r="M277" s="1">
        <v>686737.87</v>
      </c>
      <c r="N277" s="1">
        <v>83839.67</v>
      </c>
    </row>
    <row r="278" spans="1:14">
      <c r="A278" s="1" t="s">
        <v>91</v>
      </c>
      <c r="B278" s="3">
        <v>45658</v>
      </c>
      <c r="C278" s="1" t="s">
        <v>24</v>
      </c>
      <c r="D278" s="1" t="s">
        <v>16</v>
      </c>
      <c r="E278" s="1">
        <v>61784.11</v>
      </c>
      <c r="F278" s="1">
        <v>8564</v>
      </c>
      <c r="G278" s="1">
        <v>0.13</v>
      </c>
      <c r="H278" s="1">
        <v>17</v>
      </c>
      <c r="I278" s="1">
        <v>87.4</v>
      </c>
      <c r="J278" s="1">
        <v>18.14</v>
      </c>
      <c r="K278" s="1">
        <v>1</v>
      </c>
      <c r="L278" s="1">
        <v>3.4</v>
      </c>
      <c r="M278" s="1">
        <v>673076.34</v>
      </c>
      <c r="N278" s="1">
        <v>93899.76</v>
      </c>
    </row>
    <row r="279" spans="1:14">
      <c r="A279" s="1" t="s">
        <v>91</v>
      </c>
      <c r="B279" s="3">
        <v>45689</v>
      </c>
      <c r="C279" s="1" t="s">
        <v>24</v>
      </c>
      <c r="D279" s="1" t="s">
        <v>16</v>
      </c>
      <c r="E279" s="1">
        <v>36832.33</v>
      </c>
      <c r="F279" s="1">
        <v>8001</v>
      </c>
      <c r="G279" s="1">
        <v>0</v>
      </c>
      <c r="H279" s="1">
        <v>19</v>
      </c>
      <c r="I279" s="1">
        <v>88.7</v>
      </c>
      <c r="J279" s="1">
        <v>3.39</v>
      </c>
      <c r="K279" s="1">
        <v>0</v>
      </c>
      <c r="L279" s="1">
        <v>4</v>
      </c>
      <c r="M279" s="1">
        <v>738548.42</v>
      </c>
      <c r="N279" s="1">
        <v>134282.76999999999</v>
      </c>
    </row>
    <row r="280" spans="1:14">
      <c r="A280" s="1" t="s">
        <v>91</v>
      </c>
      <c r="B280" s="3">
        <v>45717</v>
      </c>
      <c r="C280" s="1" t="s">
        <v>24</v>
      </c>
      <c r="D280" s="1" t="s">
        <v>16</v>
      </c>
      <c r="E280" s="1">
        <v>48609.41</v>
      </c>
      <c r="F280" s="1">
        <v>9324</v>
      </c>
      <c r="G280" s="1">
        <v>0.21299999999999999</v>
      </c>
      <c r="H280" s="1">
        <v>18</v>
      </c>
      <c r="I280" s="1">
        <v>86.5</v>
      </c>
      <c r="J280" s="1">
        <v>1.44</v>
      </c>
      <c r="K280" s="1">
        <v>0</v>
      </c>
      <c r="L280" s="1">
        <v>3.9</v>
      </c>
      <c r="M280" s="1">
        <v>756619.77</v>
      </c>
      <c r="N280" s="1">
        <v>112057.69</v>
      </c>
    </row>
    <row r="281" spans="1:14">
      <c r="A281" s="1" t="s">
        <v>91</v>
      </c>
      <c r="B281" s="3">
        <v>45748</v>
      </c>
      <c r="C281" s="1" t="s">
        <v>24</v>
      </c>
      <c r="D281" s="1" t="s">
        <v>16</v>
      </c>
      <c r="E281" s="1">
        <v>70284.06</v>
      </c>
      <c r="F281" s="1">
        <v>9109</v>
      </c>
      <c r="G281" s="1">
        <v>4.0000000000000001E-3</v>
      </c>
      <c r="H281" s="1">
        <v>23</v>
      </c>
      <c r="I281" s="1">
        <v>87</v>
      </c>
      <c r="J281" s="1">
        <v>3.65</v>
      </c>
      <c r="K281" s="1">
        <v>0</v>
      </c>
      <c r="L281" s="1">
        <v>3.7</v>
      </c>
      <c r="M281" s="1">
        <v>761122.42</v>
      </c>
      <c r="N281" s="1">
        <v>149802.04</v>
      </c>
    </row>
    <row r="282" spans="1:14">
      <c r="A282" s="1" t="s">
        <v>92</v>
      </c>
      <c r="B282" s="3">
        <v>45658</v>
      </c>
      <c r="C282" s="1" t="s">
        <v>24</v>
      </c>
      <c r="D282" s="1" t="s">
        <v>18</v>
      </c>
      <c r="E282" s="1">
        <v>45940.39</v>
      </c>
      <c r="F282" s="1">
        <v>4022</v>
      </c>
      <c r="G282" s="1">
        <v>6.9000000000000006E-2</v>
      </c>
      <c r="H282" s="1">
        <v>10</v>
      </c>
      <c r="I282" s="1">
        <v>83</v>
      </c>
      <c r="J282" s="1">
        <v>1.23</v>
      </c>
      <c r="K282" s="1">
        <v>1</v>
      </c>
      <c r="L282" s="1">
        <v>3.8</v>
      </c>
      <c r="M282" s="1">
        <v>524899.56999999995</v>
      </c>
      <c r="N282" s="1">
        <v>63619.98</v>
      </c>
    </row>
    <row r="283" spans="1:14">
      <c r="A283" s="1" t="s">
        <v>92</v>
      </c>
      <c r="B283" s="3">
        <v>45689</v>
      </c>
      <c r="C283" s="1" t="s">
        <v>24</v>
      </c>
      <c r="D283" s="1" t="s">
        <v>18</v>
      </c>
      <c r="E283" s="1">
        <v>34771.26</v>
      </c>
      <c r="F283" s="1">
        <v>4355</v>
      </c>
      <c r="G283" s="1">
        <v>5.0999999999999997E-2</v>
      </c>
      <c r="H283" s="1">
        <v>15</v>
      </c>
      <c r="I283" s="1">
        <v>87.9</v>
      </c>
      <c r="J283" s="1">
        <v>3.09</v>
      </c>
      <c r="K283" s="1">
        <v>0</v>
      </c>
      <c r="L283" s="1">
        <v>4</v>
      </c>
      <c r="M283" s="1">
        <v>555557.77</v>
      </c>
      <c r="N283" s="1">
        <v>86475.51</v>
      </c>
    </row>
    <row r="284" spans="1:14">
      <c r="A284" s="1" t="s">
        <v>92</v>
      </c>
      <c r="B284" s="3">
        <v>45717</v>
      </c>
      <c r="C284" s="1" t="s">
        <v>24</v>
      </c>
      <c r="D284" s="1" t="s">
        <v>18</v>
      </c>
      <c r="E284" s="1">
        <v>66104.19</v>
      </c>
      <c r="F284" s="1">
        <v>5745</v>
      </c>
      <c r="G284" s="1">
        <v>7.0000000000000007E-2</v>
      </c>
      <c r="H284" s="1">
        <v>17</v>
      </c>
      <c r="I284" s="1">
        <v>95.8</v>
      </c>
      <c r="J284" s="1">
        <v>3.15</v>
      </c>
      <c r="K284" s="1">
        <v>0</v>
      </c>
      <c r="L284" s="1">
        <v>4</v>
      </c>
      <c r="M284" s="1">
        <v>714083.68</v>
      </c>
      <c r="N284" s="1">
        <v>127231.74</v>
      </c>
    </row>
    <row r="285" spans="1:14">
      <c r="A285" s="1" t="s">
        <v>92</v>
      </c>
      <c r="B285" s="3">
        <v>45748</v>
      </c>
      <c r="C285" s="1" t="s">
        <v>24</v>
      </c>
      <c r="D285" s="1" t="s">
        <v>18</v>
      </c>
      <c r="E285" s="1">
        <v>18599.21</v>
      </c>
      <c r="F285" s="1">
        <v>3027</v>
      </c>
      <c r="G285" s="1">
        <v>0.122</v>
      </c>
      <c r="H285" s="1">
        <v>11</v>
      </c>
      <c r="I285" s="1">
        <v>80.900000000000006</v>
      </c>
      <c r="J285" s="1">
        <v>6.44</v>
      </c>
      <c r="K285" s="1">
        <v>0</v>
      </c>
      <c r="L285" s="1">
        <v>4.2</v>
      </c>
      <c r="M285" s="1">
        <v>497439.82</v>
      </c>
      <c r="N285" s="1">
        <v>93372.75</v>
      </c>
    </row>
    <row r="286" spans="1:14">
      <c r="A286" s="1" t="s">
        <v>93</v>
      </c>
      <c r="B286" s="3">
        <v>45658</v>
      </c>
      <c r="C286" s="1" t="s">
        <v>27</v>
      </c>
      <c r="D286" s="1" t="s">
        <v>16</v>
      </c>
      <c r="E286" s="1">
        <v>60183.06</v>
      </c>
      <c r="F286" s="1">
        <v>5562</v>
      </c>
      <c r="G286" s="1">
        <v>8.9999999999999993E-3</v>
      </c>
      <c r="H286" s="1">
        <v>13</v>
      </c>
      <c r="I286" s="1">
        <v>86.3</v>
      </c>
      <c r="J286" s="1">
        <v>0.2</v>
      </c>
      <c r="K286" s="1">
        <v>1</v>
      </c>
      <c r="L286" s="1">
        <v>4.5</v>
      </c>
      <c r="M286" s="1">
        <v>636775.66</v>
      </c>
      <c r="N286" s="1">
        <v>122636.86</v>
      </c>
    </row>
    <row r="287" spans="1:14">
      <c r="A287" s="1" t="s">
        <v>93</v>
      </c>
      <c r="B287" s="3">
        <v>45689</v>
      </c>
      <c r="C287" s="1" t="s">
        <v>27</v>
      </c>
      <c r="D287" s="1" t="s">
        <v>16</v>
      </c>
      <c r="E287" s="1">
        <v>74539.14</v>
      </c>
      <c r="F287" s="1">
        <v>4487</v>
      </c>
      <c r="G287" s="1">
        <v>0.14000000000000001</v>
      </c>
      <c r="H287" s="1">
        <v>10</v>
      </c>
      <c r="I287" s="1">
        <v>90.4</v>
      </c>
      <c r="J287" s="1">
        <v>0.59</v>
      </c>
      <c r="K287" s="1">
        <v>0</v>
      </c>
      <c r="L287" s="1">
        <v>4.5</v>
      </c>
      <c r="M287" s="1">
        <v>633009.53</v>
      </c>
      <c r="N287" s="1">
        <v>123782.67</v>
      </c>
    </row>
    <row r="288" spans="1:14">
      <c r="A288" s="1" t="s">
        <v>93</v>
      </c>
      <c r="B288" s="3">
        <v>45717</v>
      </c>
      <c r="C288" s="1" t="s">
        <v>27</v>
      </c>
      <c r="D288" s="1" t="s">
        <v>16</v>
      </c>
      <c r="E288" s="1">
        <v>55371.97</v>
      </c>
      <c r="F288" s="1">
        <v>4162</v>
      </c>
      <c r="G288" s="1">
        <v>0.183</v>
      </c>
      <c r="H288" s="1">
        <v>11</v>
      </c>
      <c r="I288" s="1">
        <v>92</v>
      </c>
      <c r="J288" s="1">
        <v>0.2</v>
      </c>
      <c r="K288" s="1">
        <v>1</v>
      </c>
      <c r="L288" s="1">
        <v>4.2</v>
      </c>
      <c r="M288" s="1">
        <v>609949</v>
      </c>
      <c r="N288" s="1">
        <v>126789.25</v>
      </c>
    </row>
    <row r="289" spans="1:14">
      <c r="A289" s="1" t="s">
        <v>93</v>
      </c>
      <c r="B289" s="3">
        <v>45748</v>
      </c>
      <c r="C289" s="1" t="s">
        <v>27</v>
      </c>
      <c r="D289" s="1" t="s">
        <v>16</v>
      </c>
      <c r="E289" s="1">
        <v>40928.69</v>
      </c>
      <c r="F289" s="1">
        <v>4094</v>
      </c>
      <c r="G289" s="1">
        <v>0.17399999999999999</v>
      </c>
      <c r="H289" s="1">
        <v>13</v>
      </c>
      <c r="I289" s="1">
        <v>82.4</v>
      </c>
      <c r="J289" s="1">
        <v>1.36</v>
      </c>
      <c r="K289" s="1">
        <v>0</v>
      </c>
      <c r="L289" s="1">
        <v>4.8</v>
      </c>
      <c r="M289" s="1">
        <v>548103.69999999995</v>
      </c>
      <c r="N289" s="1">
        <v>99905.52</v>
      </c>
    </row>
    <row r="290" spans="1:14">
      <c r="A290" s="1" t="s">
        <v>94</v>
      </c>
      <c r="B290" s="3">
        <v>45658</v>
      </c>
      <c r="C290" s="1" t="s">
        <v>15</v>
      </c>
      <c r="D290" s="1" t="s">
        <v>16</v>
      </c>
      <c r="E290" s="1">
        <v>70012.41</v>
      </c>
      <c r="F290" s="1">
        <v>8484</v>
      </c>
      <c r="G290" s="1">
        <v>0.27300000000000002</v>
      </c>
      <c r="H290" s="1">
        <v>23</v>
      </c>
      <c r="I290" s="1">
        <v>72.900000000000006</v>
      </c>
      <c r="J290" s="1">
        <v>3.34</v>
      </c>
      <c r="K290" s="1">
        <v>0</v>
      </c>
      <c r="L290" s="1">
        <v>3.7</v>
      </c>
      <c r="M290" s="1">
        <v>729424.42</v>
      </c>
      <c r="N290" s="1">
        <v>75592.28</v>
      </c>
    </row>
    <row r="291" spans="1:14">
      <c r="A291" s="1" t="s">
        <v>94</v>
      </c>
      <c r="B291" s="3">
        <v>45689</v>
      </c>
      <c r="C291" s="1" t="s">
        <v>15</v>
      </c>
      <c r="D291" s="1" t="s">
        <v>16</v>
      </c>
      <c r="E291" s="1">
        <v>68909.259999999995</v>
      </c>
      <c r="F291" s="1">
        <v>7794</v>
      </c>
      <c r="G291" s="1">
        <v>0.28399999999999997</v>
      </c>
      <c r="H291" s="1">
        <v>22</v>
      </c>
      <c r="I291" s="1">
        <v>89</v>
      </c>
      <c r="J291" s="1">
        <v>0.33</v>
      </c>
      <c r="K291" s="1">
        <v>0</v>
      </c>
      <c r="L291" s="1">
        <v>4</v>
      </c>
      <c r="M291" s="1">
        <v>696261.49</v>
      </c>
      <c r="N291" s="1">
        <v>72455.350000000006</v>
      </c>
    </row>
    <row r="292" spans="1:14">
      <c r="A292" s="1" t="s">
        <v>94</v>
      </c>
      <c r="B292" s="3">
        <v>45717</v>
      </c>
      <c r="C292" s="1" t="s">
        <v>15</v>
      </c>
      <c r="D292" s="1" t="s">
        <v>16</v>
      </c>
      <c r="E292" s="1">
        <v>56737.3</v>
      </c>
      <c r="F292" s="1">
        <v>8300</v>
      </c>
      <c r="G292" s="1">
        <v>3.2000000000000001E-2</v>
      </c>
      <c r="H292" s="1">
        <v>21</v>
      </c>
      <c r="I292" s="1">
        <v>83.2</v>
      </c>
      <c r="J292" s="1">
        <v>3.44</v>
      </c>
      <c r="K292" s="1">
        <v>1</v>
      </c>
      <c r="L292" s="1">
        <v>4.3</v>
      </c>
      <c r="M292" s="1">
        <v>813316.71</v>
      </c>
      <c r="N292" s="1">
        <v>110077.42</v>
      </c>
    </row>
    <row r="293" spans="1:14">
      <c r="A293" s="1" t="s">
        <v>94</v>
      </c>
      <c r="B293" s="3">
        <v>45748</v>
      </c>
      <c r="C293" s="1" t="s">
        <v>15</v>
      </c>
      <c r="D293" s="1" t="s">
        <v>16</v>
      </c>
      <c r="E293" s="1">
        <v>54080.91</v>
      </c>
      <c r="F293" s="1">
        <v>7083</v>
      </c>
      <c r="G293" s="1">
        <v>0</v>
      </c>
      <c r="H293" s="1">
        <v>15</v>
      </c>
      <c r="I293" s="1">
        <v>97</v>
      </c>
      <c r="J293" s="1">
        <v>5.33</v>
      </c>
      <c r="K293" s="1">
        <v>0</v>
      </c>
      <c r="L293" s="1">
        <v>4.0999999999999996</v>
      </c>
      <c r="M293" s="1">
        <v>702068.92</v>
      </c>
      <c r="N293" s="1">
        <v>111266.63</v>
      </c>
    </row>
    <row r="294" spans="1:14">
      <c r="A294" s="1" t="s">
        <v>95</v>
      </c>
      <c r="B294" s="3">
        <v>45658</v>
      </c>
      <c r="C294" s="1" t="s">
        <v>27</v>
      </c>
      <c r="D294" s="1" t="s">
        <v>18</v>
      </c>
      <c r="E294" s="1">
        <v>51996.32</v>
      </c>
      <c r="F294" s="1">
        <v>3834</v>
      </c>
      <c r="G294" s="1">
        <v>9.6000000000000002E-2</v>
      </c>
      <c r="H294" s="1">
        <v>8</v>
      </c>
      <c r="I294" s="1">
        <v>86.7</v>
      </c>
      <c r="J294" s="1">
        <v>6.04</v>
      </c>
      <c r="K294" s="1">
        <v>0</v>
      </c>
      <c r="L294" s="1">
        <v>4.5</v>
      </c>
      <c r="M294" s="1">
        <v>546223.69999999995</v>
      </c>
      <c r="N294" s="1">
        <v>100769.17</v>
      </c>
    </row>
    <row r="295" spans="1:14">
      <c r="A295" s="1" t="s">
        <v>95</v>
      </c>
      <c r="B295" s="3">
        <v>45689</v>
      </c>
      <c r="C295" s="1" t="s">
        <v>27</v>
      </c>
      <c r="D295" s="1" t="s">
        <v>18</v>
      </c>
      <c r="E295" s="1">
        <v>40102.879999999997</v>
      </c>
      <c r="F295" s="1">
        <v>2358</v>
      </c>
      <c r="G295" s="1">
        <v>0.11899999999999999</v>
      </c>
      <c r="H295" s="1">
        <v>9</v>
      </c>
      <c r="I295" s="1">
        <v>88.7</v>
      </c>
      <c r="J295" s="1">
        <v>1.6</v>
      </c>
      <c r="K295" s="1">
        <v>0</v>
      </c>
      <c r="L295" s="1">
        <v>4.2</v>
      </c>
      <c r="M295" s="1">
        <v>533121.26</v>
      </c>
      <c r="N295" s="1">
        <v>55063.39</v>
      </c>
    </row>
    <row r="296" spans="1:14">
      <c r="A296" s="1" t="s">
        <v>95</v>
      </c>
      <c r="B296" s="3">
        <v>45717</v>
      </c>
      <c r="C296" s="1" t="s">
        <v>27</v>
      </c>
      <c r="D296" s="1" t="s">
        <v>18</v>
      </c>
      <c r="E296" s="1">
        <v>59825.51</v>
      </c>
      <c r="F296" s="1">
        <v>1231</v>
      </c>
      <c r="G296" s="1">
        <v>0.214</v>
      </c>
      <c r="H296" s="1">
        <v>10</v>
      </c>
      <c r="I296" s="1">
        <v>84.8</v>
      </c>
      <c r="J296" s="1">
        <v>8.9600000000000009</v>
      </c>
      <c r="K296" s="1">
        <v>0</v>
      </c>
      <c r="L296" s="1">
        <v>4.7</v>
      </c>
      <c r="M296" s="1">
        <v>498970.32</v>
      </c>
      <c r="N296" s="1">
        <v>69656.7</v>
      </c>
    </row>
    <row r="297" spans="1:14">
      <c r="A297" s="1" t="s">
        <v>95</v>
      </c>
      <c r="B297" s="3">
        <v>45748</v>
      </c>
      <c r="C297" s="1" t="s">
        <v>27</v>
      </c>
      <c r="D297" s="1" t="s">
        <v>18</v>
      </c>
      <c r="E297" s="1">
        <v>27398.28</v>
      </c>
      <c r="F297" s="1">
        <v>1723</v>
      </c>
      <c r="G297" s="1">
        <v>0.17100000000000001</v>
      </c>
      <c r="H297" s="1">
        <v>9</v>
      </c>
      <c r="I297" s="1">
        <v>81</v>
      </c>
      <c r="J297" s="1">
        <v>0.74</v>
      </c>
      <c r="K297" s="1">
        <v>0</v>
      </c>
      <c r="L297" s="1">
        <v>4.5999999999999996</v>
      </c>
      <c r="M297" s="1">
        <v>487738.26</v>
      </c>
      <c r="N297" s="1">
        <v>96435.6</v>
      </c>
    </row>
    <row r="298" spans="1:14">
      <c r="A298" s="1" t="s">
        <v>96</v>
      </c>
      <c r="B298" s="3">
        <v>45658</v>
      </c>
      <c r="C298" s="1" t="s">
        <v>27</v>
      </c>
      <c r="D298" s="1" t="s">
        <v>18</v>
      </c>
      <c r="E298" s="1">
        <v>55599.56</v>
      </c>
      <c r="F298" s="1">
        <v>5896</v>
      </c>
      <c r="G298" s="1">
        <v>3.5999999999999997E-2</v>
      </c>
      <c r="H298" s="1">
        <v>12</v>
      </c>
      <c r="I298" s="1">
        <v>93.1</v>
      </c>
      <c r="J298" s="1">
        <v>6.13</v>
      </c>
      <c r="K298" s="1">
        <v>0</v>
      </c>
      <c r="L298" s="1">
        <v>3.3</v>
      </c>
      <c r="M298" s="1">
        <v>668459.37</v>
      </c>
      <c r="N298" s="1">
        <v>126435.42</v>
      </c>
    </row>
    <row r="299" spans="1:14">
      <c r="A299" s="1" t="s">
        <v>96</v>
      </c>
      <c r="B299" s="3">
        <v>45689</v>
      </c>
      <c r="C299" s="1" t="s">
        <v>27</v>
      </c>
      <c r="D299" s="1" t="s">
        <v>18</v>
      </c>
      <c r="E299" s="1">
        <v>55477.61</v>
      </c>
      <c r="F299" s="1">
        <v>5903</v>
      </c>
      <c r="G299" s="1">
        <v>0.10199999999999999</v>
      </c>
      <c r="H299" s="1">
        <v>14</v>
      </c>
      <c r="I299" s="1">
        <v>96.2</v>
      </c>
      <c r="J299" s="1">
        <v>1.41</v>
      </c>
      <c r="K299" s="1">
        <v>0</v>
      </c>
      <c r="L299" s="1">
        <v>3.3</v>
      </c>
      <c r="M299" s="1">
        <v>763162.45</v>
      </c>
      <c r="N299" s="1">
        <v>162524.04999999999</v>
      </c>
    </row>
    <row r="300" spans="1:14">
      <c r="A300" s="1" t="s">
        <v>96</v>
      </c>
      <c r="B300" s="3">
        <v>45717</v>
      </c>
      <c r="C300" s="1" t="s">
        <v>27</v>
      </c>
      <c r="D300" s="1" t="s">
        <v>18</v>
      </c>
      <c r="E300" s="1">
        <v>46174.7</v>
      </c>
      <c r="F300" s="1">
        <v>4898</v>
      </c>
      <c r="G300" s="1">
        <v>0.114</v>
      </c>
      <c r="H300" s="1">
        <v>11</v>
      </c>
      <c r="I300" s="1">
        <v>91.7</v>
      </c>
      <c r="J300" s="1">
        <v>3.75</v>
      </c>
      <c r="K300" s="1">
        <v>0</v>
      </c>
      <c r="L300" s="1">
        <v>3.1</v>
      </c>
      <c r="M300" s="1">
        <v>599017.32999999996</v>
      </c>
      <c r="N300" s="1">
        <v>134009.92000000001</v>
      </c>
    </row>
    <row r="301" spans="1:14">
      <c r="A301" s="1" t="s">
        <v>96</v>
      </c>
      <c r="B301" s="3">
        <v>45748</v>
      </c>
      <c r="C301" s="1" t="s">
        <v>27</v>
      </c>
      <c r="D301" s="1" t="s">
        <v>18</v>
      </c>
      <c r="E301" s="1">
        <v>24362.98</v>
      </c>
      <c r="F301" s="1">
        <v>1462</v>
      </c>
      <c r="G301" s="1">
        <v>0.11700000000000001</v>
      </c>
      <c r="H301" s="1">
        <v>6</v>
      </c>
      <c r="I301" s="1">
        <v>89.3</v>
      </c>
      <c r="J301" s="1">
        <v>15.06</v>
      </c>
      <c r="K301" s="1">
        <v>0</v>
      </c>
      <c r="L301" s="1">
        <v>3.2</v>
      </c>
      <c r="M301" s="1">
        <v>401582.58</v>
      </c>
      <c r="N301" s="1">
        <v>68454.929999999993</v>
      </c>
    </row>
    <row r="302" spans="1:14">
      <c r="A302" s="1" t="s">
        <v>97</v>
      </c>
      <c r="B302" s="3">
        <v>45658</v>
      </c>
      <c r="C302" s="1" t="s">
        <v>20</v>
      </c>
      <c r="D302" s="1" t="s">
        <v>28</v>
      </c>
      <c r="E302" s="1">
        <v>40647.67</v>
      </c>
      <c r="F302" s="1">
        <v>8252</v>
      </c>
      <c r="G302" s="1">
        <v>0.14099999999999999</v>
      </c>
      <c r="H302" s="1">
        <v>22</v>
      </c>
      <c r="I302" s="1">
        <v>88.2</v>
      </c>
      <c r="J302" s="1">
        <v>5.07</v>
      </c>
      <c r="K302" s="1">
        <v>1</v>
      </c>
      <c r="L302" s="1">
        <v>4.0999999999999996</v>
      </c>
      <c r="M302" s="1">
        <v>703812.99</v>
      </c>
      <c r="N302" s="1">
        <v>133577.98000000001</v>
      </c>
    </row>
    <row r="303" spans="1:14">
      <c r="A303" s="1" t="s">
        <v>97</v>
      </c>
      <c r="B303" s="3">
        <v>45689</v>
      </c>
      <c r="C303" s="1" t="s">
        <v>20</v>
      </c>
      <c r="D303" s="1" t="s">
        <v>28</v>
      </c>
      <c r="E303" s="1">
        <v>63986.98</v>
      </c>
      <c r="F303" s="1">
        <v>7989</v>
      </c>
      <c r="G303" s="1">
        <v>7.3999999999999996E-2</v>
      </c>
      <c r="H303" s="1">
        <v>20</v>
      </c>
      <c r="I303" s="1">
        <v>83.3</v>
      </c>
      <c r="J303" s="1">
        <v>3.6</v>
      </c>
      <c r="K303" s="1">
        <v>0</v>
      </c>
      <c r="L303" s="1">
        <v>3.7</v>
      </c>
      <c r="M303" s="1">
        <v>724346.73</v>
      </c>
      <c r="N303" s="1">
        <v>155013.91</v>
      </c>
    </row>
    <row r="304" spans="1:14">
      <c r="A304" s="1" t="s">
        <v>97</v>
      </c>
      <c r="B304" s="3">
        <v>45717</v>
      </c>
      <c r="C304" s="1" t="s">
        <v>20</v>
      </c>
      <c r="D304" s="1" t="s">
        <v>28</v>
      </c>
      <c r="E304" s="1">
        <v>52843.75</v>
      </c>
      <c r="F304" s="1">
        <v>8268</v>
      </c>
      <c r="G304" s="1">
        <v>0.13800000000000001</v>
      </c>
      <c r="H304" s="1">
        <v>19</v>
      </c>
      <c r="I304" s="1">
        <v>87.3</v>
      </c>
      <c r="J304" s="1">
        <v>4.3899999999999997</v>
      </c>
      <c r="K304" s="1">
        <v>1</v>
      </c>
      <c r="L304" s="1">
        <v>4.7</v>
      </c>
      <c r="M304" s="1">
        <v>730890.01</v>
      </c>
      <c r="N304" s="1">
        <v>105502.56</v>
      </c>
    </row>
    <row r="305" spans="1:14">
      <c r="A305" s="1" t="s">
        <v>97</v>
      </c>
      <c r="B305" s="3">
        <v>45748</v>
      </c>
      <c r="C305" s="1" t="s">
        <v>20</v>
      </c>
      <c r="D305" s="1" t="s">
        <v>28</v>
      </c>
      <c r="E305" s="1">
        <v>31997.25</v>
      </c>
      <c r="F305" s="1">
        <v>8183</v>
      </c>
      <c r="G305" s="1">
        <v>0.19800000000000001</v>
      </c>
      <c r="H305" s="1">
        <v>18</v>
      </c>
      <c r="I305" s="1">
        <v>93</v>
      </c>
      <c r="J305" s="1">
        <v>2.79</v>
      </c>
      <c r="K305" s="1">
        <v>0</v>
      </c>
      <c r="L305" s="1">
        <v>4.2</v>
      </c>
      <c r="M305" s="1">
        <v>780580.95</v>
      </c>
      <c r="N305" s="1">
        <v>138144.46</v>
      </c>
    </row>
    <row r="306" spans="1:14">
      <c r="A306" s="1" t="s">
        <v>98</v>
      </c>
      <c r="B306" s="3">
        <v>45658</v>
      </c>
      <c r="C306" s="1" t="s">
        <v>24</v>
      </c>
      <c r="D306" s="1" t="s">
        <v>16</v>
      </c>
      <c r="E306" s="1">
        <v>54948.02</v>
      </c>
      <c r="F306" s="1">
        <v>6534</v>
      </c>
      <c r="G306" s="1">
        <v>0.183</v>
      </c>
      <c r="H306" s="1">
        <v>14</v>
      </c>
      <c r="I306" s="1">
        <v>94.5</v>
      </c>
      <c r="J306" s="1">
        <v>1.56</v>
      </c>
      <c r="K306" s="1">
        <v>0</v>
      </c>
      <c r="L306" s="1">
        <v>4</v>
      </c>
      <c r="M306" s="1">
        <v>727957.48</v>
      </c>
      <c r="N306" s="1">
        <v>74805.23</v>
      </c>
    </row>
    <row r="307" spans="1:14">
      <c r="A307" s="1" t="s">
        <v>98</v>
      </c>
      <c r="B307" s="3">
        <v>45689</v>
      </c>
      <c r="C307" s="1" t="s">
        <v>24</v>
      </c>
      <c r="D307" s="1" t="s">
        <v>16</v>
      </c>
      <c r="E307" s="1">
        <v>46146.239999999998</v>
      </c>
      <c r="F307" s="1">
        <v>5804</v>
      </c>
      <c r="G307" s="1">
        <v>4.7E-2</v>
      </c>
      <c r="H307" s="1">
        <v>16</v>
      </c>
      <c r="I307" s="1">
        <v>86.9</v>
      </c>
      <c r="J307" s="1">
        <v>15.82</v>
      </c>
      <c r="K307" s="1">
        <v>0</v>
      </c>
      <c r="L307" s="1">
        <v>3.8</v>
      </c>
      <c r="M307" s="1">
        <v>538376</v>
      </c>
      <c r="N307" s="1">
        <v>87605.62</v>
      </c>
    </row>
    <row r="308" spans="1:14">
      <c r="A308" s="1" t="s">
        <v>98</v>
      </c>
      <c r="B308" s="3">
        <v>45717</v>
      </c>
      <c r="C308" s="1" t="s">
        <v>24</v>
      </c>
      <c r="D308" s="1" t="s">
        <v>16</v>
      </c>
      <c r="E308" s="1">
        <v>22387.26</v>
      </c>
      <c r="F308" s="1">
        <v>6301</v>
      </c>
      <c r="G308" s="1">
        <v>0.14599999999999999</v>
      </c>
      <c r="H308" s="1">
        <v>14</v>
      </c>
      <c r="I308" s="1">
        <v>85.9</v>
      </c>
      <c r="J308" s="1">
        <v>1.17</v>
      </c>
      <c r="K308" s="1">
        <v>1</v>
      </c>
      <c r="L308" s="1">
        <v>3.7</v>
      </c>
      <c r="M308" s="1">
        <v>665342.49</v>
      </c>
      <c r="N308" s="1">
        <v>93441.81</v>
      </c>
    </row>
    <row r="309" spans="1:14">
      <c r="A309" s="1" t="s">
        <v>98</v>
      </c>
      <c r="B309" s="3">
        <v>45748</v>
      </c>
      <c r="C309" s="1" t="s">
        <v>24</v>
      </c>
      <c r="D309" s="1" t="s">
        <v>16</v>
      </c>
      <c r="E309" s="1">
        <v>60684.05</v>
      </c>
      <c r="F309" s="1">
        <v>6399</v>
      </c>
      <c r="G309" s="1">
        <v>7.4999999999999997E-2</v>
      </c>
      <c r="H309" s="1">
        <v>16</v>
      </c>
      <c r="I309" s="1">
        <v>99</v>
      </c>
      <c r="J309" s="1">
        <v>3.82</v>
      </c>
      <c r="K309" s="1">
        <v>0</v>
      </c>
      <c r="L309" s="1">
        <v>3.5</v>
      </c>
      <c r="M309" s="1">
        <v>651164.18000000005</v>
      </c>
      <c r="N309" s="1">
        <v>109466.5</v>
      </c>
    </row>
    <row r="310" spans="1:14">
      <c r="A310" s="1" t="s">
        <v>99</v>
      </c>
      <c r="B310" s="3">
        <v>45658</v>
      </c>
      <c r="C310" s="1" t="s">
        <v>24</v>
      </c>
      <c r="D310" s="1" t="s">
        <v>18</v>
      </c>
      <c r="E310" s="1">
        <v>48465.599999999999</v>
      </c>
      <c r="F310" s="1">
        <v>5759</v>
      </c>
      <c r="G310" s="1">
        <v>0.154</v>
      </c>
      <c r="H310" s="1">
        <v>13</v>
      </c>
      <c r="I310" s="1">
        <v>87.5</v>
      </c>
      <c r="J310" s="1">
        <v>4.1399999999999997</v>
      </c>
      <c r="K310" s="1">
        <v>0</v>
      </c>
      <c r="L310" s="1">
        <v>4</v>
      </c>
      <c r="M310" s="1">
        <v>628538.30000000005</v>
      </c>
      <c r="N310" s="1">
        <v>112509.15</v>
      </c>
    </row>
    <row r="311" spans="1:14">
      <c r="A311" s="1" t="s">
        <v>99</v>
      </c>
      <c r="B311" s="3">
        <v>45689</v>
      </c>
      <c r="C311" s="1" t="s">
        <v>24</v>
      </c>
      <c r="D311" s="1" t="s">
        <v>18</v>
      </c>
      <c r="E311" s="1">
        <v>23702.38</v>
      </c>
      <c r="F311" s="1">
        <v>5285</v>
      </c>
      <c r="G311" s="1">
        <v>0.16700000000000001</v>
      </c>
      <c r="H311" s="1">
        <v>14</v>
      </c>
      <c r="I311" s="1">
        <v>79.7</v>
      </c>
      <c r="J311" s="1">
        <v>1.1000000000000001</v>
      </c>
      <c r="K311" s="1">
        <v>0</v>
      </c>
      <c r="L311" s="1">
        <v>4.3</v>
      </c>
      <c r="M311" s="1">
        <v>536524.84</v>
      </c>
      <c r="N311" s="1">
        <v>92752.94</v>
      </c>
    </row>
    <row r="312" spans="1:14">
      <c r="A312" s="1" t="s">
        <v>99</v>
      </c>
      <c r="B312" s="3">
        <v>45717</v>
      </c>
      <c r="C312" s="1" t="s">
        <v>24</v>
      </c>
      <c r="D312" s="1" t="s">
        <v>18</v>
      </c>
      <c r="E312" s="1">
        <v>54322.94</v>
      </c>
      <c r="F312" s="1">
        <v>5434</v>
      </c>
      <c r="G312" s="1">
        <v>0.2</v>
      </c>
      <c r="H312" s="1">
        <v>13</v>
      </c>
      <c r="I312" s="1">
        <v>85.7</v>
      </c>
      <c r="J312" s="1">
        <v>10.6</v>
      </c>
      <c r="K312" s="1">
        <v>0</v>
      </c>
      <c r="L312" s="1">
        <v>4.2</v>
      </c>
      <c r="M312" s="1">
        <v>621677.30000000005</v>
      </c>
      <c r="N312" s="1">
        <v>105192.52</v>
      </c>
    </row>
    <row r="313" spans="1:14">
      <c r="A313" s="1" t="s">
        <v>99</v>
      </c>
      <c r="B313" s="3">
        <v>45748</v>
      </c>
      <c r="C313" s="1" t="s">
        <v>24</v>
      </c>
      <c r="D313" s="1" t="s">
        <v>18</v>
      </c>
      <c r="E313" s="1">
        <v>86026.58</v>
      </c>
      <c r="F313" s="1">
        <v>7479</v>
      </c>
      <c r="G313" s="1">
        <v>0.14199999999999999</v>
      </c>
      <c r="H313" s="1">
        <v>20</v>
      </c>
      <c r="I313" s="1">
        <v>89</v>
      </c>
      <c r="J313" s="1">
        <v>0.9</v>
      </c>
      <c r="K313" s="1">
        <v>0</v>
      </c>
      <c r="L313" s="1">
        <v>3.92</v>
      </c>
      <c r="M313" s="1">
        <v>771129.07</v>
      </c>
      <c r="N313" s="1">
        <v>116851.13</v>
      </c>
    </row>
    <row r="314" spans="1:14">
      <c r="A314" s="1" t="s">
        <v>100</v>
      </c>
      <c r="B314" s="3">
        <v>45658</v>
      </c>
      <c r="C314" s="1" t="s">
        <v>20</v>
      </c>
      <c r="D314" s="1" t="s">
        <v>16</v>
      </c>
      <c r="E314" s="1">
        <v>78967.520000000004</v>
      </c>
      <c r="F314" s="1">
        <v>6164</v>
      </c>
      <c r="G314" s="1">
        <v>2.1000000000000001E-2</v>
      </c>
      <c r="H314" s="1">
        <v>16</v>
      </c>
      <c r="I314" s="1">
        <v>85.5</v>
      </c>
      <c r="J314" s="1">
        <v>0.2</v>
      </c>
      <c r="K314" s="1">
        <v>0</v>
      </c>
      <c r="L314" s="1">
        <v>3.4</v>
      </c>
      <c r="M314" s="1">
        <v>702052.47</v>
      </c>
      <c r="N314" s="1">
        <v>121732.51</v>
      </c>
    </row>
    <row r="315" spans="1:14">
      <c r="A315" s="1" t="s">
        <v>100</v>
      </c>
      <c r="B315" s="3">
        <v>45689</v>
      </c>
      <c r="C315" s="1" t="s">
        <v>20</v>
      </c>
      <c r="D315" s="1" t="s">
        <v>16</v>
      </c>
      <c r="E315" s="1">
        <v>46767.99</v>
      </c>
      <c r="F315" s="1">
        <v>7973</v>
      </c>
      <c r="G315" s="1">
        <v>0.183</v>
      </c>
      <c r="H315" s="1">
        <v>18</v>
      </c>
      <c r="I315" s="1">
        <v>94.8</v>
      </c>
      <c r="J315" s="1">
        <v>4.67</v>
      </c>
      <c r="K315" s="1">
        <v>0</v>
      </c>
      <c r="L315" s="1">
        <v>3.92</v>
      </c>
      <c r="M315" s="1">
        <v>688368.46</v>
      </c>
      <c r="N315" s="1">
        <v>93588.42</v>
      </c>
    </row>
    <row r="316" spans="1:14">
      <c r="A316" s="1" t="s">
        <v>100</v>
      </c>
      <c r="B316" s="3">
        <v>45717</v>
      </c>
      <c r="C316" s="1" t="s">
        <v>20</v>
      </c>
      <c r="D316" s="1" t="s">
        <v>16</v>
      </c>
      <c r="E316" s="1">
        <v>62507.16</v>
      </c>
      <c r="F316" s="1">
        <v>6000</v>
      </c>
      <c r="G316" s="1">
        <v>9.0999999999999998E-2</v>
      </c>
      <c r="H316" s="1">
        <v>14</v>
      </c>
      <c r="I316" s="1">
        <v>98.2</v>
      </c>
      <c r="J316" s="1">
        <v>4.38</v>
      </c>
      <c r="K316" s="1">
        <v>1</v>
      </c>
      <c r="L316" s="1">
        <v>3.9</v>
      </c>
      <c r="M316" s="1">
        <v>712375.77</v>
      </c>
      <c r="N316" s="1">
        <v>104171.53</v>
      </c>
    </row>
    <row r="317" spans="1:14">
      <c r="A317" s="1" t="s">
        <v>100</v>
      </c>
      <c r="B317" s="3">
        <v>45748</v>
      </c>
      <c r="C317" s="1" t="s">
        <v>20</v>
      </c>
      <c r="D317" s="1" t="s">
        <v>16</v>
      </c>
      <c r="E317" s="1">
        <v>66456.28</v>
      </c>
      <c r="F317" s="1">
        <v>9967</v>
      </c>
      <c r="G317" s="1">
        <v>0.108</v>
      </c>
      <c r="H317" s="1">
        <v>20</v>
      </c>
      <c r="I317" s="1">
        <v>94.7</v>
      </c>
      <c r="J317" s="1">
        <v>4.4800000000000004</v>
      </c>
      <c r="K317" s="1">
        <v>0</v>
      </c>
      <c r="L317" s="1">
        <v>4.2</v>
      </c>
      <c r="M317" s="1">
        <v>844710.67</v>
      </c>
      <c r="N317" s="1">
        <v>137140.18</v>
      </c>
    </row>
    <row r="318" spans="1:14">
      <c r="A318" s="1" t="s">
        <v>101</v>
      </c>
      <c r="B318" s="3">
        <v>45658</v>
      </c>
      <c r="C318" s="1" t="s">
        <v>15</v>
      </c>
      <c r="D318" s="1" t="s">
        <v>16</v>
      </c>
      <c r="E318" s="1">
        <v>76614.320000000007</v>
      </c>
      <c r="F318" s="1">
        <v>5639</v>
      </c>
      <c r="G318" s="1">
        <v>0.17399999999999999</v>
      </c>
      <c r="H318" s="1">
        <v>15</v>
      </c>
      <c r="I318" s="1">
        <v>92.9</v>
      </c>
      <c r="J318" s="1">
        <v>1.02</v>
      </c>
      <c r="K318" s="1">
        <v>1</v>
      </c>
      <c r="L318" s="1">
        <v>4</v>
      </c>
      <c r="M318" s="1">
        <v>620264.19999999995</v>
      </c>
      <c r="N318" s="1">
        <v>91365.64</v>
      </c>
    </row>
    <row r="319" spans="1:14">
      <c r="A319" s="1" t="s">
        <v>101</v>
      </c>
      <c r="B319" s="3">
        <v>45689</v>
      </c>
      <c r="C319" s="1" t="s">
        <v>15</v>
      </c>
      <c r="D319" s="1" t="s">
        <v>16</v>
      </c>
      <c r="E319" s="1">
        <v>24088.06</v>
      </c>
      <c r="F319" s="1">
        <v>3466</v>
      </c>
      <c r="G319" s="1">
        <v>0</v>
      </c>
      <c r="H319" s="1">
        <v>11</v>
      </c>
      <c r="I319" s="1">
        <v>88</v>
      </c>
      <c r="J319" s="1">
        <v>0.2</v>
      </c>
      <c r="K319" s="1">
        <v>0</v>
      </c>
      <c r="L319" s="1">
        <v>3.8</v>
      </c>
      <c r="M319" s="1">
        <v>536845.42000000004</v>
      </c>
      <c r="N319" s="1">
        <v>107473.75</v>
      </c>
    </row>
    <row r="320" spans="1:14">
      <c r="A320" s="1" t="s">
        <v>101</v>
      </c>
      <c r="B320" s="3">
        <v>45717</v>
      </c>
      <c r="C320" s="1" t="s">
        <v>15</v>
      </c>
      <c r="D320" s="1" t="s">
        <v>16</v>
      </c>
      <c r="E320" s="1">
        <v>81902.58</v>
      </c>
      <c r="F320" s="1">
        <v>7775</v>
      </c>
      <c r="G320" s="1">
        <v>0.215</v>
      </c>
      <c r="H320" s="1">
        <v>20</v>
      </c>
      <c r="I320" s="1">
        <v>85.2</v>
      </c>
      <c r="J320" s="1">
        <v>4.8899999999999997</v>
      </c>
      <c r="K320" s="1">
        <v>1</v>
      </c>
      <c r="L320" s="1">
        <v>4.2</v>
      </c>
      <c r="M320" s="1">
        <v>726776.22</v>
      </c>
      <c r="N320" s="1">
        <v>90804.49</v>
      </c>
    </row>
    <row r="321" spans="1:14">
      <c r="A321" s="1" t="s">
        <v>101</v>
      </c>
      <c r="B321" s="3">
        <v>45748</v>
      </c>
      <c r="C321" s="1" t="s">
        <v>15</v>
      </c>
      <c r="D321" s="1" t="s">
        <v>16</v>
      </c>
      <c r="E321" s="1">
        <v>40553.11</v>
      </c>
      <c r="F321" s="1">
        <v>5317</v>
      </c>
      <c r="G321" s="1">
        <v>0.16500000000000001</v>
      </c>
      <c r="H321" s="1">
        <v>17</v>
      </c>
      <c r="I321" s="1">
        <v>84.3</v>
      </c>
      <c r="J321" s="1">
        <v>11.82</v>
      </c>
      <c r="K321" s="1">
        <v>0</v>
      </c>
      <c r="L321" s="1">
        <v>4.0999999999999996</v>
      </c>
      <c r="M321" s="1">
        <v>559660.84</v>
      </c>
      <c r="N321" s="1">
        <v>71443.61</v>
      </c>
    </row>
    <row r="322" spans="1:14">
      <c r="J322" s="1"/>
      <c r="L322" s="1"/>
    </row>
    <row r="323" spans="1:14">
      <c r="J323" s="1"/>
      <c r="L323" s="1"/>
    </row>
  </sheetData>
  <autoFilter ref="A1:N321" xr:uid="{BE310542-BCD4-469B-9CFF-310371869A51}">
    <sortState xmlns:xlrd2="http://schemas.microsoft.com/office/spreadsheetml/2017/richdata2" ref="A2:N321">
      <sortCondition ref="A1:A3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CAE4-FE75-45F6-8DAD-D2DE6C0B3C60}">
  <dimension ref="A1:I321"/>
  <sheetViews>
    <sheetView workbookViewId="0">
      <selection activeCell="C1" sqref="C1"/>
    </sheetView>
  </sheetViews>
  <sheetFormatPr defaultColWidth="18.88671875" defaultRowHeight="14.4"/>
  <sheetData>
    <row r="1" spans="1:9" ht="27.6">
      <c r="A1" s="2" t="s">
        <v>0</v>
      </c>
      <c r="B1" s="2" t="s">
        <v>2</v>
      </c>
      <c r="C1" s="2" t="s">
        <v>102</v>
      </c>
      <c r="D1" s="2" t="s">
        <v>103</v>
      </c>
      <c r="E1" s="2" t="s">
        <v>104</v>
      </c>
      <c r="F1" s="2" t="s">
        <v>3</v>
      </c>
      <c r="G1" s="2" t="s">
        <v>137</v>
      </c>
      <c r="H1" s="2" t="s">
        <v>105</v>
      </c>
      <c r="I1" s="2" t="s">
        <v>106</v>
      </c>
    </row>
    <row r="2" spans="1:9">
      <c r="A2" s="1" t="s">
        <v>38</v>
      </c>
      <c r="B2" s="1" t="s">
        <v>27</v>
      </c>
      <c r="C2" s="1">
        <f>IF(B2="East",1,0)</f>
        <v>0</v>
      </c>
      <c r="D2" s="1">
        <f>IF(B2="West",1,0)</f>
        <v>1</v>
      </c>
      <c r="E2" s="1">
        <f>IF(B2="North",1,0)</f>
        <v>0</v>
      </c>
      <c r="F2" s="1" t="s">
        <v>18</v>
      </c>
      <c r="G2" s="1">
        <f>IF(F2="Residential",1,0)</f>
        <v>0</v>
      </c>
      <c r="H2" s="1">
        <f>IF(F2="High Street",1,0)</f>
        <v>1</v>
      </c>
      <c r="I2" s="1">
        <f>IF(F2="Mall",1,0)</f>
        <v>0</v>
      </c>
    </row>
    <row r="3" spans="1:9">
      <c r="A3" s="1" t="s">
        <v>44</v>
      </c>
      <c r="B3" s="1" t="s">
        <v>24</v>
      </c>
      <c r="C3" s="1">
        <f>IF(B3="East",1,0)</f>
        <v>0</v>
      </c>
      <c r="D3" s="1">
        <f>IF(B3="West",1,0)</f>
        <v>0</v>
      </c>
      <c r="E3" s="1">
        <f>IF(B3="North",1,0)</f>
        <v>0</v>
      </c>
      <c r="F3" s="1" t="s">
        <v>28</v>
      </c>
      <c r="G3" s="1">
        <f>IF(F3="Residential",1,0)</f>
        <v>0</v>
      </c>
      <c r="H3" s="1">
        <f>IF(F3="High Street",1,0)</f>
        <v>0</v>
      </c>
      <c r="I3" s="1">
        <f>IF(F3="Mall",1,0)</f>
        <v>1</v>
      </c>
    </row>
    <row r="4" spans="1:9">
      <c r="A4" s="1" t="s">
        <v>33</v>
      </c>
      <c r="B4" s="1" t="s">
        <v>27</v>
      </c>
      <c r="C4" s="1">
        <f>IF(B4="East",1,0)</f>
        <v>0</v>
      </c>
      <c r="D4" s="1">
        <f>IF(B4="West",1,0)</f>
        <v>1</v>
      </c>
      <c r="E4" s="1">
        <f>IF(B4="North",1,0)</f>
        <v>0</v>
      </c>
      <c r="F4" s="1" t="s">
        <v>16</v>
      </c>
      <c r="G4" s="1">
        <f>IF(F4="Residential",1,0)</f>
        <v>1</v>
      </c>
      <c r="H4" s="1">
        <f>IF(F4="High Street",1,0)</f>
        <v>0</v>
      </c>
      <c r="I4" s="1">
        <f>IF(F4="Mall",1,0)</f>
        <v>0</v>
      </c>
    </row>
    <row r="5" spans="1:9">
      <c r="A5" s="1" t="s">
        <v>26</v>
      </c>
      <c r="B5" s="1" t="s">
        <v>27</v>
      </c>
      <c r="C5" s="1">
        <f>IF(B5="East",1,0)</f>
        <v>0</v>
      </c>
      <c r="D5" s="1">
        <f>IF(B5="West",1,0)</f>
        <v>1</v>
      </c>
      <c r="E5" s="1">
        <f>IF(B5="North",1,0)</f>
        <v>0</v>
      </c>
      <c r="F5" s="1" t="s">
        <v>28</v>
      </c>
      <c r="G5" s="1">
        <f>IF(F5="Residential",1,0)</f>
        <v>0</v>
      </c>
      <c r="H5" s="1">
        <f>IF(F5="High Street",1,0)</f>
        <v>0</v>
      </c>
      <c r="I5" s="1">
        <f>IF(F5="Mall",1,0)</f>
        <v>1</v>
      </c>
    </row>
    <row r="6" spans="1:9">
      <c r="A6" s="1" t="s">
        <v>30</v>
      </c>
      <c r="B6" s="1" t="s">
        <v>20</v>
      </c>
      <c r="C6" s="1">
        <f>IF(B6="East",1,0)</f>
        <v>0</v>
      </c>
      <c r="D6" s="1">
        <f>IF(B6="West",1,0)</f>
        <v>0</v>
      </c>
      <c r="E6" s="1">
        <f>IF(B6="North",1,0)</f>
        <v>1</v>
      </c>
      <c r="F6" s="1" t="s">
        <v>16</v>
      </c>
      <c r="G6" s="1">
        <f>IF(F6="Residential",1,0)</f>
        <v>1</v>
      </c>
      <c r="H6" s="1">
        <f>IF(F6="High Street",1,0)</f>
        <v>0</v>
      </c>
      <c r="I6" s="1">
        <f>IF(F6="Mall",1,0)</f>
        <v>0</v>
      </c>
    </row>
    <row r="7" spans="1:9">
      <c r="A7" s="1" t="s">
        <v>14</v>
      </c>
      <c r="B7" s="1" t="s">
        <v>15</v>
      </c>
      <c r="C7" s="1">
        <f>IF(B7="East",1,0)</f>
        <v>1</v>
      </c>
      <c r="D7" s="1">
        <f>IF(B7="West",1,0)</f>
        <v>0</v>
      </c>
      <c r="E7" s="1">
        <f>IF(B7="North",1,0)</f>
        <v>0</v>
      </c>
      <c r="F7" s="1" t="s">
        <v>16</v>
      </c>
      <c r="G7" s="1">
        <f>IF(F7="Residential",1,0)</f>
        <v>1</v>
      </c>
      <c r="H7" s="1">
        <f>IF(F7="High Street",1,0)</f>
        <v>0</v>
      </c>
      <c r="I7" s="1">
        <f>IF(F7="Mall",1,0)</f>
        <v>0</v>
      </c>
    </row>
    <row r="8" spans="1:9">
      <c r="A8" s="1" t="s">
        <v>89</v>
      </c>
      <c r="B8" s="1" t="s">
        <v>15</v>
      </c>
      <c r="C8" s="1">
        <f>IF(B8="East",1,0)</f>
        <v>1</v>
      </c>
      <c r="D8" s="1">
        <f>IF(B8="West",1,0)</f>
        <v>0</v>
      </c>
      <c r="E8" s="1">
        <f>IF(B8="North",1,0)</f>
        <v>0</v>
      </c>
      <c r="F8" s="1" t="s">
        <v>28</v>
      </c>
      <c r="G8" s="1">
        <f>IF(F8="Residential",1,0)</f>
        <v>0</v>
      </c>
      <c r="H8" s="1">
        <f>IF(F8="High Street",1,0)</f>
        <v>0</v>
      </c>
      <c r="I8" s="1">
        <f>IF(F8="Mall",1,0)</f>
        <v>1</v>
      </c>
    </row>
    <row r="9" spans="1:9">
      <c r="A9" s="1" t="s">
        <v>73</v>
      </c>
      <c r="B9" s="1" t="s">
        <v>15</v>
      </c>
      <c r="C9" s="1">
        <f>IF(B9="East",1,0)</f>
        <v>1</v>
      </c>
      <c r="D9" s="1">
        <f>IF(B9="West",1,0)</f>
        <v>0</v>
      </c>
      <c r="E9" s="1">
        <f>IF(B9="North",1,0)</f>
        <v>0</v>
      </c>
      <c r="F9" s="1" t="s">
        <v>28</v>
      </c>
      <c r="G9" s="1">
        <f>IF(F9="Residential",1,0)</f>
        <v>0</v>
      </c>
      <c r="H9" s="1">
        <f>IF(F9="High Street",1,0)</f>
        <v>0</v>
      </c>
      <c r="I9" s="1">
        <f>IF(F9="Mall",1,0)</f>
        <v>1</v>
      </c>
    </row>
    <row r="10" spans="1:9">
      <c r="A10" s="1" t="s">
        <v>89</v>
      </c>
      <c r="B10" s="1" t="s">
        <v>15</v>
      </c>
      <c r="C10" s="1">
        <f>IF(B10="East",1,0)</f>
        <v>1</v>
      </c>
      <c r="D10" s="1">
        <f>IF(B10="West",1,0)</f>
        <v>0</v>
      </c>
      <c r="E10" s="1">
        <f>IF(B10="North",1,0)</f>
        <v>0</v>
      </c>
      <c r="F10" s="1" t="s">
        <v>28</v>
      </c>
      <c r="G10" s="1">
        <f>IF(F10="Residential",1,0)</f>
        <v>0</v>
      </c>
      <c r="H10" s="1">
        <f>IF(F10="High Street",1,0)</f>
        <v>0</v>
      </c>
      <c r="I10" s="1">
        <f>IF(F10="Mall",1,0)</f>
        <v>1</v>
      </c>
    </row>
    <row r="11" spans="1:9">
      <c r="A11" s="1" t="s">
        <v>35</v>
      </c>
      <c r="B11" s="1" t="s">
        <v>27</v>
      </c>
      <c r="C11" s="1">
        <f>IF(B11="East",1,0)</f>
        <v>0</v>
      </c>
      <c r="D11" s="1">
        <f>IF(B11="West",1,0)</f>
        <v>1</v>
      </c>
      <c r="E11" s="1">
        <f>IF(B11="North",1,0)</f>
        <v>0</v>
      </c>
      <c r="F11" s="1" t="s">
        <v>18</v>
      </c>
      <c r="G11" s="1">
        <f>IF(F11="Residential",1,0)</f>
        <v>0</v>
      </c>
      <c r="H11" s="1">
        <f>IF(F11="High Street",1,0)</f>
        <v>1</v>
      </c>
      <c r="I11" s="1">
        <f>IF(F11="Mall",1,0)</f>
        <v>0</v>
      </c>
    </row>
    <row r="12" spans="1:9">
      <c r="A12" s="1" t="s">
        <v>74</v>
      </c>
      <c r="B12" s="1" t="s">
        <v>15</v>
      </c>
      <c r="C12" s="1">
        <f>IF(B12="East",1,0)</f>
        <v>1</v>
      </c>
      <c r="D12" s="1">
        <f>IF(B12="West",1,0)</f>
        <v>0</v>
      </c>
      <c r="E12" s="1">
        <f>IF(B12="North",1,0)</f>
        <v>0</v>
      </c>
      <c r="F12" s="1" t="s">
        <v>18</v>
      </c>
      <c r="G12" s="1">
        <f>IF(F12="Residential",1,0)</f>
        <v>0</v>
      </c>
      <c r="H12" s="1">
        <f>IF(F12="High Street",1,0)</f>
        <v>1</v>
      </c>
      <c r="I12" s="1">
        <f>IF(F12="Mall",1,0)</f>
        <v>0</v>
      </c>
    </row>
    <row r="13" spans="1:9">
      <c r="A13" s="1" t="s">
        <v>98</v>
      </c>
      <c r="B13" s="1" t="s">
        <v>24</v>
      </c>
      <c r="C13" s="1">
        <f>IF(B13="East",1,0)</f>
        <v>0</v>
      </c>
      <c r="D13" s="1">
        <f>IF(B13="West",1,0)</f>
        <v>0</v>
      </c>
      <c r="E13" s="1">
        <f>IF(B13="North",1,0)</f>
        <v>0</v>
      </c>
      <c r="F13" s="1" t="s">
        <v>16</v>
      </c>
      <c r="G13" s="1">
        <f>IF(F13="Residential",1,0)</f>
        <v>1</v>
      </c>
      <c r="H13" s="1">
        <f>IF(F13="High Street",1,0)</f>
        <v>0</v>
      </c>
      <c r="I13" s="1">
        <f>IF(F13="Mall",1,0)</f>
        <v>0</v>
      </c>
    </row>
    <row r="14" spans="1:9">
      <c r="A14" s="1" t="s">
        <v>25</v>
      </c>
      <c r="B14" s="1" t="s">
        <v>20</v>
      </c>
      <c r="C14" s="1">
        <f>IF(B14="East",1,0)</f>
        <v>0</v>
      </c>
      <c r="D14" s="1">
        <f>IF(B14="West",1,0)</f>
        <v>0</v>
      </c>
      <c r="E14" s="1">
        <f>IF(B14="North",1,0)</f>
        <v>1</v>
      </c>
      <c r="F14" s="1" t="s">
        <v>16</v>
      </c>
      <c r="G14" s="1">
        <f>IF(F14="Residential",1,0)</f>
        <v>1</v>
      </c>
      <c r="H14" s="1">
        <f>IF(F14="High Street",1,0)</f>
        <v>0</v>
      </c>
      <c r="I14" s="1">
        <f>IF(F14="Mall",1,0)</f>
        <v>0</v>
      </c>
    </row>
    <row r="15" spans="1:9">
      <c r="A15" s="1" t="s">
        <v>81</v>
      </c>
      <c r="B15" s="1" t="s">
        <v>27</v>
      </c>
      <c r="C15" s="1">
        <f>IF(B15="East",1,0)</f>
        <v>0</v>
      </c>
      <c r="D15" s="1">
        <f>IF(B15="West",1,0)</f>
        <v>1</v>
      </c>
      <c r="E15" s="1">
        <f>IF(B15="North",1,0)</f>
        <v>0</v>
      </c>
      <c r="F15" s="1" t="s">
        <v>28</v>
      </c>
      <c r="G15" s="1">
        <f>IF(F15="Residential",1,0)</f>
        <v>0</v>
      </c>
      <c r="H15" s="1">
        <f>IF(F15="High Street",1,0)</f>
        <v>0</v>
      </c>
      <c r="I15" s="1">
        <f>IF(F15="Mall",1,0)</f>
        <v>1</v>
      </c>
    </row>
    <row r="16" spans="1:9">
      <c r="A16" s="1" t="s">
        <v>73</v>
      </c>
      <c r="B16" s="1" t="s">
        <v>15</v>
      </c>
      <c r="C16" s="1">
        <f>IF(B16="East",1,0)</f>
        <v>1</v>
      </c>
      <c r="D16" s="1">
        <f>IF(B16="West",1,0)</f>
        <v>0</v>
      </c>
      <c r="E16" s="1">
        <f>IF(B16="North",1,0)</f>
        <v>0</v>
      </c>
      <c r="F16" s="1" t="s">
        <v>28</v>
      </c>
      <c r="G16" s="1">
        <f>IF(F16="Residential",1,0)</f>
        <v>0</v>
      </c>
      <c r="H16" s="1">
        <f>IF(F16="High Street",1,0)</f>
        <v>0</v>
      </c>
      <c r="I16" s="1">
        <f>IF(F16="Mall",1,0)</f>
        <v>1</v>
      </c>
    </row>
    <row r="17" spans="1:9">
      <c r="A17" s="1" t="s">
        <v>14</v>
      </c>
      <c r="B17" s="1" t="s">
        <v>15</v>
      </c>
      <c r="C17" s="1">
        <f>IF(B17="East",1,0)</f>
        <v>1</v>
      </c>
      <c r="D17" s="1">
        <f>IF(B17="West",1,0)</f>
        <v>0</v>
      </c>
      <c r="E17" s="1">
        <f>IF(B17="North",1,0)</f>
        <v>0</v>
      </c>
      <c r="F17" s="1" t="s">
        <v>16</v>
      </c>
      <c r="G17" s="1">
        <f>IF(F17="Residential",1,0)</f>
        <v>1</v>
      </c>
      <c r="H17" s="1">
        <f>IF(F17="High Street",1,0)</f>
        <v>0</v>
      </c>
      <c r="I17" s="1">
        <f>IF(F17="Mall",1,0)</f>
        <v>0</v>
      </c>
    </row>
    <row r="18" spans="1:9">
      <c r="A18" s="1" t="s">
        <v>36</v>
      </c>
      <c r="B18" s="1" t="s">
        <v>15</v>
      </c>
      <c r="C18" s="1">
        <f>IF(B18="East",1,0)</f>
        <v>1</v>
      </c>
      <c r="D18" s="1">
        <f>IF(B18="West",1,0)</f>
        <v>0</v>
      </c>
      <c r="E18" s="1">
        <f>IF(B18="North",1,0)</f>
        <v>0</v>
      </c>
      <c r="F18" s="1" t="s">
        <v>21</v>
      </c>
      <c r="G18" s="1">
        <f>IF(F18="Residential",1,0)</f>
        <v>0</v>
      </c>
      <c r="H18" s="1">
        <f>IF(F18="High Street",1,0)</f>
        <v>0</v>
      </c>
      <c r="I18" s="1">
        <f>IF(F18="Mall",1,0)</f>
        <v>0</v>
      </c>
    </row>
    <row r="19" spans="1:9">
      <c r="A19" s="1" t="s">
        <v>70</v>
      </c>
      <c r="B19" s="1" t="s">
        <v>27</v>
      </c>
      <c r="C19" s="1">
        <f>IF(B19="East",1,0)</f>
        <v>0</v>
      </c>
      <c r="D19" s="1">
        <f>IF(B19="West",1,0)</f>
        <v>1</v>
      </c>
      <c r="E19" s="1">
        <f>IF(B19="North",1,0)</f>
        <v>0</v>
      </c>
      <c r="F19" s="1" t="s">
        <v>16</v>
      </c>
      <c r="G19" s="1">
        <f>IF(F19="Residential",1,0)</f>
        <v>1</v>
      </c>
      <c r="H19" s="1">
        <f>IF(F19="High Street",1,0)</f>
        <v>0</v>
      </c>
      <c r="I19" s="1">
        <f>IF(F19="Mall",1,0)</f>
        <v>0</v>
      </c>
    </row>
    <row r="20" spans="1:9">
      <c r="A20" s="1" t="s">
        <v>96</v>
      </c>
      <c r="B20" s="1" t="s">
        <v>27</v>
      </c>
      <c r="C20" s="1">
        <f>IF(B20="East",1,0)</f>
        <v>0</v>
      </c>
      <c r="D20" s="1">
        <f>IF(B20="West",1,0)</f>
        <v>1</v>
      </c>
      <c r="E20" s="1">
        <f>IF(B20="North",1,0)</f>
        <v>0</v>
      </c>
      <c r="F20" s="1" t="s">
        <v>18</v>
      </c>
      <c r="G20" s="1">
        <f>IF(F20="Residential",1,0)</f>
        <v>0</v>
      </c>
      <c r="H20" s="1">
        <f>IF(F20="High Street",1,0)</f>
        <v>1</v>
      </c>
      <c r="I20" s="1">
        <f>IF(F20="Mall",1,0)</f>
        <v>0</v>
      </c>
    </row>
    <row r="21" spans="1:9">
      <c r="A21" s="1" t="s">
        <v>36</v>
      </c>
      <c r="B21" s="1" t="s">
        <v>15</v>
      </c>
      <c r="C21" s="1">
        <f>IF(B21="East",1,0)</f>
        <v>1</v>
      </c>
      <c r="D21" s="1">
        <f>IF(B21="West",1,0)</f>
        <v>0</v>
      </c>
      <c r="E21" s="1">
        <f>IF(B21="North",1,0)</f>
        <v>0</v>
      </c>
      <c r="F21" s="1" t="s">
        <v>21</v>
      </c>
      <c r="G21" s="1">
        <f>IF(F21="Residential",1,0)</f>
        <v>0</v>
      </c>
      <c r="H21" s="1">
        <f>IF(F21="High Street",1,0)</f>
        <v>0</v>
      </c>
      <c r="I21" s="1">
        <f>IF(F21="Mall",1,0)</f>
        <v>0</v>
      </c>
    </row>
    <row r="22" spans="1:9">
      <c r="A22" s="1" t="s">
        <v>29</v>
      </c>
      <c r="B22" s="1" t="s">
        <v>15</v>
      </c>
      <c r="C22" s="1">
        <f>IF(B22="East",1,0)</f>
        <v>1</v>
      </c>
      <c r="D22" s="1">
        <f>IF(B22="West",1,0)</f>
        <v>0</v>
      </c>
      <c r="E22" s="1">
        <f>IF(B22="North",1,0)</f>
        <v>0</v>
      </c>
      <c r="F22" s="1" t="s">
        <v>16</v>
      </c>
      <c r="G22" s="1">
        <f>IF(F22="Residential",1,0)</f>
        <v>1</v>
      </c>
      <c r="H22" s="1">
        <f>IF(F22="High Street",1,0)</f>
        <v>0</v>
      </c>
      <c r="I22" s="1">
        <f>IF(F22="Mall",1,0)</f>
        <v>0</v>
      </c>
    </row>
    <row r="23" spans="1:9">
      <c r="A23" s="1" t="s">
        <v>54</v>
      </c>
      <c r="B23" s="1" t="s">
        <v>15</v>
      </c>
      <c r="C23" s="1">
        <f>IF(B23="East",1,0)</f>
        <v>1</v>
      </c>
      <c r="D23" s="1">
        <f>IF(B23="West",1,0)</f>
        <v>0</v>
      </c>
      <c r="E23" s="1">
        <f>IF(B23="North",1,0)</f>
        <v>0</v>
      </c>
      <c r="F23" s="1" t="s">
        <v>18</v>
      </c>
      <c r="G23" s="1">
        <f>IF(F23="Residential",1,0)</f>
        <v>0</v>
      </c>
      <c r="H23" s="1">
        <f>IF(F23="High Street",1,0)</f>
        <v>1</v>
      </c>
      <c r="I23" s="1">
        <f>IF(F23="Mall",1,0)</f>
        <v>0</v>
      </c>
    </row>
    <row r="24" spans="1:9">
      <c r="A24" s="1" t="s">
        <v>29</v>
      </c>
      <c r="B24" s="1" t="s">
        <v>15</v>
      </c>
      <c r="C24" s="1">
        <f>IF(B24="East",1,0)</f>
        <v>1</v>
      </c>
      <c r="D24" s="1">
        <f>IF(B24="West",1,0)</f>
        <v>0</v>
      </c>
      <c r="E24" s="1">
        <f>IF(B24="North",1,0)</f>
        <v>0</v>
      </c>
      <c r="F24" s="1" t="s">
        <v>16</v>
      </c>
      <c r="G24" s="1">
        <f>IF(F24="Residential",1,0)</f>
        <v>1</v>
      </c>
      <c r="H24" s="1">
        <f>IF(F24="High Street",1,0)</f>
        <v>0</v>
      </c>
      <c r="I24" s="1">
        <f>IF(F24="Mall",1,0)</f>
        <v>0</v>
      </c>
    </row>
    <row r="25" spans="1:9">
      <c r="A25" s="1" t="s">
        <v>52</v>
      </c>
      <c r="B25" s="1" t="s">
        <v>20</v>
      </c>
      <c r="C25" s="1">
        <f>IF(B25="East",1,0)</f>
        <v>0</v>
      </c>
      <c r="D25" s="1">
        <f>IF(B25="West",1,0)</f>
        <v>0</v>
      </c>
      <c r="E25" s="1">
        <f>IF(B25="North",1,0)</f>
        <v>1</v>
      </c>
      <c r="F25" s="1" t="s">
        <v>18</v>
      </c>
      <c r="G25" s="1">
        <f>IF(F25="Residential",1,0)</f>
        <v>0</v>
      </c>
      <c r="H25" s="1">
        <f>IF(F25="High Street",1,0)</f>
        <v>1</v>
      </c>
      <c r="I25" s="1">
        <f>IF(F25="Mall",1,0)</f>
        <v>0</v>
      </c>
    </row>
    <row r="26" spans="1:9">
      <c r="A26" s="1" t="s">
        <v>14</v>
      </c>
      <c r="B26" s="1" t="s">
        <v>15</v>
      </c>
      <c r="C26" s="1">
        <f>IF(B26="East",1,0)</f>
        <v>1</v>
      </c>
      <c r="D26" s="1">
        <f>IF(B26="West",1,0)</f>
        <v>0</v>
      </c>
      <c r="E26" s="1">
        <f>IF(B26="North",1,0)</f>
        <v>0</v>
      </c>
      <c r="F26" s="1" t="s">
        <v>16</v>
      </c>
      <c r="G26" s="1">
        <f>IF(F26="Residential",1,0)</f>
        <v>1</v>
      </c>
      <c r="H26" s="1">
        <f>IF(F26="High Street",1,0)</f>
        <v>0</v>
      </c>
      <c r="I26" s="1">
        <f>IF(F26="Mall",1,0)</f>
        <v>0</v>
      </c>
    </row>
    <row r="27" spans="1:9">
      <c r="A27" s="1" t="s">
        <v>64</v>
      </c>
      <c r="B27" s="1" t="s">
        <v>15</v>
      </c>
      <c r="C27" s="1">
        <f>IF(B27="East",1,0)</f>
        <v>1</v>
      </c>
      <c r="D27" s="1">
        <f>IF(B27="West",1,0)</f>
        <v>0</v>
      </c>
      <c r="E27" s="1">
        <f>IF(B27="North",1,0)</f>
        <v>0</v>
      </c>
      <c r="F27" s="1" t="s">
        <v>16</v>
      </c>
      <c r="G27" s="1">
        <f>IF(F27="Residential",1,0)</f>
        <v>1</v>
      </c>
      <c r="H27" s="1">
        <f>IF(F27="High Street",1,0)</f>
        <v>0</v>
      </c>
      <c r="I27" s="1">
        <f>IF(F27="Mall",1,0)</f>
        <v>0</v>
      </c>
    </row>
    <row r="28" spans="1:9">
      <c r="A28" s="1" t="s">
        <v>91</v>
      </c>
      <c r="B28" s="1" t="s">
        <v>24</v>
      </c>
      <c r="C28" s="1">
        <f>IF(B28="East",1,0)</f>
        <v>0</v>
      </c>
      <c r="D28" s="1">
        <f>IF(B28="West",1,0)</f>
        <v>0</v>
      </c>
      <c r="E28" s="1">
        <f>IF(B28="North",1,0)</f>
        <v>0</v>
      </c>
      <c r="F28" s="1" t="s">
        <v>16</v>
      </c>
      <c r="G28" s="1">
        <f>IF(F28="Residential",1,0)</f>
        <v>1</v>
      </c>
      <c r="H28" s="1">
        <f>IF(F28="High Street",1,0)</f>
        <v>0</v>
      </c>
      <c r="I28" s="1">
        <f>IF(F28="Mall",1,0)</f>
        <v>0</v>
      </c>
    </row>
    <row r="29" spans="1:9">
      <c r="A29" s="1" t="s">
        <v>56</v>
      </c>
      <c r="B29" s="1" t="s">
        <v>24</v>
      </c>
      <c r="C29" s="1">
        <f>IF(B29="East",1,0)</f>
        <v>0</v>
      </c>
      <c r="D29" s="1">
        <f>IF(B29="West",1,0)</f>
        <v>0</v>
      </c>
      <c r="E29" s="1">
        <f>IF(B29="North",1,0)</f>
        <v>0</v>
      </c>
      <c r="F29" s="1" t="s">
        <v>16</v>
      </c>
      <c r="G29" s="1">
        <f>IF(F29="Residential",1,0)</f>
        <v>1</v>
      </c>
      <c r="H29" s="1">
        <f>IF(F29="High Street",1,0)</f>
        <v>0</v>
      </c>
      <c r="I29" s="1">
        <f>IF(F29="Mall",1,0)</f>
        <v>0</v>
      </c>
    </row>
    <row r="30" spans="1:9">
      <c r="A30" s="1" t="s">
        <v>72</v>
      </c>
      <c r="B30" s="1" t="s">
        <v>15</v>
      </c>
      <c r="C30" s="1">
        <f>IF(B30="East",1,0)</f>
        <v>1</v>
      </c>
      <c r="D30" s="1">
        <f>IF(B30="West",1,0)</f>
        <v>0</v>
      </c>
      <c r="E30" s="1">
        <f>IF(B30="North",1,0)</f>
        <v>0</v>
      </c>
      <c r="F30" s="1" t="s">
        <v>21</v>
      </c>
      <c r="G30" s="1">
        <f>IF(F30="Residential",1,0)</f>
        <v>0</v>
      </c>
      <c r="H30" s="1">
        <f>IF(F30="High Street",1,0)</f>
        <v>0</v>
      </c>
      <c r="I30" s="1">
        <f>IF(F30="Mall",1,0)</f>
        <v>0</v>
      </c>
    </row>
    <row r="31" spans="1:9">
      <c r="A31" s="1" t="s">
        <v>79</v>
      </c>
      <c r="B31" s="1" t="s">
        <v>15</v>
      </c>
      <c r="C31" s="1">
        <f>IF(B31="East",1,0)</f>
        <v>1</v>
      </c>
      <c r="D31" s="1">
        <f>IF(B31="West",1,0)</f>
        <v>0</v>
      </c>
      <c r="E31" s="1">
        <f>IF(B31="North",1,0)</f>
        <v>0</v>
      </c>
      <c r="F31" s="1" t="s">
        <v>18</v>
      </c>
      <c r="G31" s="1">
        <f>IF(F31="Residential",1,0)</f>
        <v>0</v>
      </c>
      <c r="H31" s="1">
        <f>IF(F31="High Street",1,0)</f>
        <v>1</v>
      </c>
      <c r="I31" s="1">
        <f>IF(F31="Mall",1,0)</f>
        <v>0</v>
      </c>
    </row>
    <row r="32" spans="1:9">
      <c r="A32" s="1" t="s">
        <v>17</v>
      </c>
      <c r="B32" s="1" t="s">
        <v>15</v>
      </c>
      <c r="C32" s="1">
        <f>IF(B32="East",1,0)</f>
        <v>1</v>
      </c>
      <c r="D32" s="1">
        <f>IF(B32="West",1,0)</f>
        <v>0</v>
      </c>
      <c r="E32" s="1">
        <f>IF(B32="North",1,0)</f>
        <v>0</v>
      </c>
      <c r="F32" s="1" t="s">
        <v>18</v>
      </c>
      <c r="G32" s="1">
        <f>IF(F32="Residential",1,0)</f>
        <v>0</v>
      </c>
      <c r="H32" s="1">
        <f>IF(F32="High Street",1,0)</f>
        <v>1</v>
      </c>
      <c r="I32" s="1">
        <f>IF(F32="Mall",1,0)</f>
        <v>0</v>
      </c>
    </row>
    <row r="33" spans="1:9">
      <c r="A33" s="1" t="s">
        <v>50</v>
      </c>
      <c r="B33" s="1" t="s">
        <v>27</v>
      </c>
      <c r="C33" s="1">
        <f>IF(B33="East",1,0)</f>
        <v>0</v>
      </c>
      <c r="D33" s="1">
        <f>IF(B33="West",1,0)</f>
        <v>1</v>
      </c>
      <c r="E33" s="1">
        <f>IF(B33="North",1,0)</f>
        <v>0</v>
      </c>
      <c r="F33" s="1" t="s">
        <v>28</v>
      </c>
      <c r="G33" s="1">
        <f>IF(F33="Residential",1,0)</f>
        <v>0</v>
      </c>
      <c r="H33" s="1">
        <f>IF(F33="High Street",1,0)</f>
        <v>0</v>
      </c>
      <c r="I33" s="1">
        <f>IF(F33="Mall",1,0)</f>
        <v>1</v>
      </c>
    </row>
    <row r="34" spans="1:9">
      <c r="A34" s="1" t="s">
        <v>40</v>
      </c>
      <c r="B34" s="1" t="s">
        <v>15</v>
      </c>
      <c r="C34" s="1">
        <f>IF(B34="East",1,0)</f>
        <v>1</v>
      </c>
      <c r="D34" s="1">
        <f>IF(B34="West",1,0)</f>
        <v>0</v>
      </c>
      <c r="E34" s="1">
        <f>IF(B34="North",1,0)</f>
        <v>0</v>
      </c>
      <c r="F34" s="1" t="s">
        <v>16</v>
      </c>
      <c r="G34" s="1">
        <f>IF(F34="Residential",1,0)</f>
        <v>1</v>
      </c>
      <c r="H34" s="1">
        <f>IF(F34="High Street",1,0)</f>
        <v>0</v>
      </c>
      <c r="I34" s="1">
        <f>IF(F34="Mall",1,0)</f>
        <v>0</v>
      </c>
    </row>
    <row r="35" spans="1:9">
      <c r="A35" s="1" t="s">
        <v>55</v>
      </c>
      <c r="B35" s="1" t="s">
        <v>20</v>
      </c>
      <c r="C35" s="1">
        <f>IF(B35="East",1,0)</f>
        <v>0</v>
      </c>
      <c r="D35" s="1">
        <f>IF(B35="West",1,0)</f>
        <v>0</v>
      </c>
      <c r="E35" s="1">
        <f>IF(B35="North",1,0)</f>
        <v>1</v>
      </c>
      <c r="F35" s="1" t="s">
        <v>18</v>
      </c>
      <c r="G35" s="1">
        <f>IF(F35="Residential",1,0)</f>
        <v>0</v>
      </c>
      <c r="H35" s="1">
        <f>IF(F35="High Street",1,0)</f>
        <v>1</v>
      </c>
      <c r="I35" s="1">
        <f>IF(F35="Mall",1,0)</f>
        <v>0</v>
      </c>
    </row>
    <row r="36" spans="1:9">
      <c r="A36" s="1" t="s">
        <v>51</v>
      </c>
      <c r="B36" s="1" t="s">
        <v>27</v>
      </c>
      <c r="C36" s="1">
        <f>IF(B36="East",1,0)</f>
        <v>0</v>
      </c>
      <c r="D36" s="1">
        <f>IF(B36="West",1,0)</f>
        <v>1</v>
      </c>
      <c r="E36" s="1">
        <f>IF(B36="North",1,0)</f>
        <v>0</v>
      </c>
      <c r="F36" s="1" t="s">
        <v>16</v>
      </c>
      <c r="G36" s="1">
        <f>IF(F36="Residential",1,0)</f>
        <v>1</v>
      </c>
      <c r="H36" s="1">
        <f>IF(F36="High Street",1,0)</f>
        <v>0</v>
      </c>
      <c r="I36" s="1">
        <f>IF(F36="Mall",1,0)</f>
        <v>0</v>
      </c>
    </row>
    <row r="37" spans="1:9">
      <c r="A37" s="1" t="s">
        <v>69</v>
      </c>
      <c r="B37" s="1" t="s">
        <v>15</v>
      </c>
      <c r="C37" s="1">
        <f>IF(B37="East",1,0)</f>
        <v>1</v>
      </c>
      <c r="D37" s="1">
        <f>IF(B37="West",1,0)</f>
        <v>0</v>
      </c>
      <c r="E37" s="1">
        <f>IF(B37="North",1,0)</f>
        <v>0</v>
      </c>
      <c r="F37" s="1" t="s">
        <v>18</v>
      </c>
      <c r="G37" s="1">
        <f>IF(F37="Residential",1,0)</f>
        <v>0</v>
      </c>
      <c r="H37" s="1">
        <f>IF(F37="High Street",1,0)</f>
        <v>1</v>
      </c>
      <c r="I37" s="1">
        <f>IF(F37="Mall",1,0)</f>
        <v>0</v>
      </c>
    </row>
    <row r="38" spans="1:9">
      <c r="A38" s="1" t="s">
        <v>101</v>
      </c>
      <c r="B38" s="1" t="s">
        <v>15</v>
      </c>
      <c r="C38" s="1">
        <f>IF(B38="East",1,0)</f>
        <v>1</v>
      </c>
      <c r="D38" s="1">
        <f>IF(B38="West",1,0)</f>
        <v>0</v>
      </c>
      <c r="E38" s="1">
        <f>IF(B38="North",1,0)</f>
        <v>0</v>
      </c>
      <c r="F38" s="1" t="s">
        <v>16</v>
      </c>
      <c r="G38" s="1">
        <f>IF(F38="Residential",1,0)</f>
        <v>1</v>
      </c>
      <c r="H38" s="1">
        <f>IF(F38="High Street",1,0)</f>
        <v>0</v>
      </c>
      <c r="I38" s="1">
        <f>IF(F38="Mall",1,0)</f>
        <v>0</v>
      </c>
    </row>
    <row r="39" spans="1:9">
      <c r="A39" s="1" t="s">
        <v>55</v>
      </c>
      <c r="B39" s="1" t="s">
        <v>20</v>
      </c>
      <c r="C39" s="1">
        <f>IF(B39="East",1,0)</f>
        <v>0</v>
      </c>
      <c r="D39" s="1">
        <f>IF(B39="West",1,0)</f>
        <v>0</v>
      </c>
      <c r="E39" s="1">
        <f>IF(B39="North",1,0)</f>
        <v>1</v>
      </c>
      <c r="F39" s="1" t="s">
        <v>18</v>
      </c>
      <c r="G39" s="1">
        <f>IF(F39="Residential",1,0)</f>
        <v>0</v>
      </c>
      <c r="H39" s="1">
        <f>IF(F39="High Street",1,0)</f>
        <v>1</v>
      </c>
      <c r="I39" s="1">
        <f>IF(F39="Mall",1,0)</f>
        <v>0</v>
      </c>
    </row>
    <row r="40" spans="1:9">
      <c r="A40" s="1" t="s">
        <v>52</v>
      </c>
      <c r="B40" s="1" t="s">
        <v>20</v>
      </c>
      <c r="C40" s="1">
        <f>IF(B40="East",1,0)</f>
        <v>0</v>
      </c>
      <c r="D40" s="1">
        <f>IF(B40="West",1,0)</f>
        <v>0</v>
      </c>
      <c r="E40" s="1">
        <f>IF(B40="North",1,0)</f>
        <v>1</v>
      </c>
      <c r="F40" s="1" t="s">
        <v>18</v>
      </c>
      <c r="G40" s="1">
        <f>IF(F40="Residential",1,0)</f>
        <v>0</v>
      </c>
      <c r="H40" s="1">
        <f>IF(F40="High Street",1,0)</f>
        <v>1</v>
      </c>
      <c r="I40" s="1">
        <f>IF(F40="Mall",1,0)</f>
        <v>0</v>
      </c>
    </row>
    <row r="41" spans="1:9">
      <c r="A41" s="1" t="s">
        <v>62</v>
      </c>
      <c r="B41" s="1" t="s">
        <v>24</v>
      </c>
      <c r="C41" s="1">
        <f>IF(B41="East",1,0)</f>
        <v>0</v>
      </c>
      <c r="D41" s="1">
        <f>IF(B41="West",1,0)</f>
        <v>0</v>
      </c>
      <c r="E41" s="1">
        <f>IF(B41="North",1,0)</f>
        <v>0</v>
      </c>
      <c r="F41" s="1" t="s">
        <v>18</v>
      </c>
      <c r="G41" s="1">
        <f>IF(F41="Residential",1,0)</f>
        <v>0</v>
      </c>
      <c r="H41" s="1">
        <f>IF(F41="High Street",1,0)</f>
        <v>1</v>
      </c>
      <c r="I41" s="1">
        <f>IF(F41="Mall",1,0)</f>
        <v>0</v>
      </c>
    </row>
    <row r="42" spans="1:9">
      <c r="A42" s="1" t="s">
        <v>31</v>
      </c>
      <c r="B42" s="1" t="s">
        <v>20</v>
      </c>
      <c r="C42" s="1">
        <f>IF(B42="East",1,0)</f>
        <v>0</v>
      </c>
      <c r="D42" s="1">
        <f>IF(B42="West",1,0)</f>
        <v>0</v>
      </c>
      <c r="E42" s="1">
        <f>IF(B42="North",1,0)</f>
        <v>1</v>
      </c>
      <c r="F42" s="1" t="s">
        <v>28</v>
      </c>
      <c r="G42" s="1">
        <f>IF(F42="Residential",1,0)</f>
        <v>0</v>
      </c>
      <c r="H42" s="1">
        <f>IF(F42="High Street",1,0)</f>
        <v>0</v>
      </c>
      <c r="I42" s="1">
        <f>IF(F42="Mall",1,0)</f>
        <v>1</v>
      </c>
    </row>
    <row r="43" spans="1:9">
      <c r="A43" s="1" t="s">
        <v>60</v>
      </c>
      <c r="B43" s="1" t="s">
        <v>15</v>
      </c>
      <c r="C43" s="1">
        <f>IF(B43="East",1,0)</f>
        <v>1</v>
      </c>
      <c r="D43" s="1">
        <f>IF(B43="West",1,0)</f>
        <v>0</v>
      </c>
      <c r="E43" s="1">
        <f>IF(B43="North",1,0)</f>
        <v>0</v>
      </c>
      <c r="F43" s="1" t="s">
        <v>18</v>
      </c>
      <c r="G43" s="1">
        <f>IF(F43="Residential",1,0)</f>
        <v>0</v>
      </c>
      <c r="H43" s="1">
        <f>IF(F43="High Street",1,0)</f>
        <v>1</v>
      </c>
      <c r="I43" s="1">
        <f>IF(F43="Mall",1,0)</f>
        <v>0</v>
      </c>
    </row>
    <row r="44" spans="1:9">
      <c r="A44" s="1" t="s">
        <v>30</v>
      </c>
      <c r="B44" s="1" t="s">
        <v>20</v>
      </c>
      <c r="C44" s="1">
        <f>IF(B44="East",1,0)</f>
        <v>0</v>
      </c>
      <c r="D44" s="1">
        <f>IF(B44="West",1,0)</f>
        <v>0</v>
      </c>
      <c r="E44" s="1">
        <f>IF(B44="North",1,0)</f>
        <v>1</v>
      </c>
      <c r="F44" s="1" t="s">
        <v>16</v>
      </c>
      <c r="G44" s="1">
        <f>IF(F44="Residential",1,0)</f>
        <v>1</v>
      </c>
      <c r="H44" s="1">
        <f>IF(F44="High Street",1,0)</f>
        <v>0</v>
      </c>
      <c r="I44" s="1">
        <f>IF(F44="Mall",1,0)</f>
        <v>0</v>
      </c>
    </row>
    <row r="45" spans="1:9">
      <c r="A45" s="1" t="s">
        <v>47</v>
      </c>
      <c r="B45" s="1" t="s">
        <v>15</v>
      </c>
      <c r="C45" s="1">
        <f>IF(B45="East",1,0)</f>
        <v>1</v>
      </c>
      <c r="D45" s="1">
        <f>IF(B45="West",1,0)</f>
        <v>0</v>
      </c>
      <c r="E45" s="1">
        <f>IF(B45="North",1,0)</f>
        <v>0</v>
      </c>
      <c r="F45" s="1" t="s">
        <v>28</v>
      </c>
      <c r="G45" s="1">
        <f>IF(F45="Residential",1,0)</f>
        <v>0</v>
      </c>
      <c r="H45" s="1">
        <f>IF(F45="High Street",1,0)</f>
        <v>0</v>
      </c>
      <c r="I45" s="1">
        <f>IF(F45="Mall",1,0)</f>
        <v>1</v>
      </c>
    </row>
    <row r="46" spans="1:9">
      <c r="A46" s="1" t="s">
        <v>98</v>
      </c>
      <c r="B46" s="1" t="s">
        <v>24</v>
      </c>
      <c r="C46" s="1">
        <f>IF(B46="East",1,0)</f>
        <v>0</v>
      </c>
      <c r="D46" s="1">
        <f>IF(B46="West",1,0)</f>
        <v>0</v>
      </c>
      <c r="E46" s="1">
        <f>IF(B46="North",1,0)</f>
        <v>0</v>
      </c>
      <c r="F46" s="1" t="s">
        <v>16</v>
      </c>
      <c r="G46" s="1">
        <f>IF(F46="Residential",1,0)</f>
        <v>1</v>
      </c>
      <c r="H46" s="1">
        <f>IF(F46="High Street",1,0)</f>
        <v>0</v>
      </c>
      <c r="I46" s="1">
        <f>IF(F46="Mall",1,0)</f>
        <v>0</v>
      </c>
    </row>
    <row r="47" spans="1:9">
      <c r="A47" s="1" t="s">
        <v>72</v>
      </c>
      <c r="B47" s="1" t="s">
        <v>15</v>
      </c>
      <c r="C47" s="1">
        <f>IF(B47="East",1,0)</f>
        <v>1</v>
      </c>
      <c r="D47" s="1">
        <f>IF(B47="West",1,0)</f>
        <v>0</v>
      </c>
      <c r="E47" s="1">
        <f>IF(B47="North",1,0)</f>
        <v>0</v>
      </c>
      <c r="F47" s="1" t="s">
        <v>21</v>
      </c>
      <c r="G47" s="1">
        <f>IF(F47="Residential",1,0)</f>
        <v>0</v>
      </c>
      <c r="H47" s="1">
        <f>IF(F47="High Street",1,0)</f>
        <v>0</v>
      </c>
      <c r="I47" s="1">
        <f>IF(F47="Mall",1,0)</f>
        <v>0</v>
      </c>
    </row>
    <row r="48" spans="1:9">
      <c r="A48" s="1" t="s">
        <v>61</v>
      </c>
      <c r="B48" s="1" t="s">
        <v>20</v>
      </c>
      <c r="C48" s="1">
        <f>IF(B48="East",1,0)</f>
        <v>0</v>
      </c>
      <c r="D48" s="1">
        <f>IF(B48="West",1,0)</f>
        <v>0</v>
      </c>
      <c r="E48" s="1">
        <f>IF(B48="North",1,0)</f>
        <v>1</v>
      </c>
      <c r="F48" s="1" t="s">
        <v>28</v>
      </c>
      <c r="G48" s="1">
        <f>IF(F48="Residential",1,0)</f>
        <v>0</v>
      </c>
      <c r="H48" s="1">
        <f>IF(F48="High Street",1,0)</f>
        <v>0</v>
      </c>
      <c r="I48" s="1">
        <f>IF(F48="Mall",1,0)</f>
        <v>1</v>
      </c>
    </row>
    <row r="49" spans="1:9">
      <c r="A49" s="1" t="s">
        <v>79</v>
      </c>
      <c r="B49" s="1" t="s">
        <v>15</v>
      </c>
      <c r="C49" s="1">
        <f>IF(B49="East",1,0)</f>
        <v>1</v>
      </c>
      <c r="D49" s="1">
        <f>IF(B49="West",1,0)</f>
        <v>0</v>
      </c>
      <c r="E49" s="1">
        <f>IF(B49="North",1,0)</f>
        <v>0</v>
      </c>
      <c r="F49" s="1" t="s">
        <v>18</v>
      </c>
      <c r="G49" s="1">
        <f>IF(F49="Residential",1,0)</f>
        <v>0</v>
      </c>
      <c r="H49" s="1">
        <f>IF(F49="High Street",1,0)</f>
        <v>1</v>
      </c>
      <c r="I49" s="1">
        <f>IF(F49="Mall",1,0)</f>
        <v>0</v>
      </c>
    </row>
    <row r="50" spans="1:9">
      <c r="A50" s="1" t="s">
        <v>22</v>
      </c>
      <c r="B50" s="1" t="s">
        <v>15</v>
      </c>
      <c r="C50" s="1">
        <f>IF(B50="East",1,0)</f>
        <v>1</v>
      </c>
      <c r="D50" s="1">
        <f>IF(B50="West",1,0)</f>
        <v>0</v>
      </c>
      <c r="E50" s="1">
        <f>IF(B50="North",1,0)</f>
        <v>0</v>
      </c>
      <c r="F50" s="1" t="s">
        <v>16</v>
      </c>
      <c r="G50" s="1">
        <f>IF(F50="Residential",1,0)</f>
        <v>1</v>
      </c>
      <c r="H50" s="1">
        <f>IF(F50="High Street",1,0)</f>
        <v>0</v>
      </c>
      <c r="I50" s="1">
        <f>IF(F50="Mall",1,0)</f>
        <v>0</v>
      </c>
    </row>
    <row r="51" spans="1:9">
      <c r="A51" s="1" t="s">
        <v>78</v>
      </c>
      <c r="B51" s="1" t="s">
        <v>15</v>
      </c>
      <c r="C51" s="1">
        <f>IF(B51="East",1,0)</f>
        <v>1</v>
      </c>
      <c r="D51" s="1">
        <f>IF(B51="West",1,0)</f>
        <v>0</v>
      </c>
      <c r="E51" s="1">
        <f>IF(B51="North",1,0)</f>
        <v>0</v>
      </c>
      <c r="F51" s="1" t="s">
        <v>28</v>
      </c>
      <c r="G51" s="1">
        <f>IF(F51="Residential",1,0)</f>
        <v>0</v>
      </c>
      <c r="H51" s="1">
        <f>IF(F51="High Street",1,0)</f>
        <v>0</v>
      </c>
      <c r="I51" s="1">
        <f>IF(F51="Mall",1,0)</f>
        <v>1</v>
      </c>
    </row>
    <row r="52" spans="1:9">
      <c r="A52" s="1" t="s">
        <v>19</v>
      </c>
      <c r="B52" s="1" t="s">
        <v>20</v>
      </c>
      <c r="C52" s="1">
        <f>IF(B52="East",1,0)</f>
        <v>0</v>
      </c>
      <c r="D52" s="1">
        <f>IF(B52="West",1,0)</f>
        <v>0</v>
      </c>
      <c r="E52" s="1">
        <f>IF(B52="North",1,0)</f>
        <v>1</v>
      </c>
      <c r="F52" s="1" t="s">
        <v>21</v>
      </c>
      <c r="G52" s="1">
        <f>IF(F52="Residential",1,0)</f>
        <v>0</v>
      </c>
      <c r="H52" s="1">
        <f>IF(F52="High Street",1,0)</f>
        <v>0</v>
      </c>
      <c r="I52" s="1">
        <f>IF(F52="Mall",1,0)</f>
        <v>0</v>
      </c>
    </row>
    <row r="53" spans="1:9">
      <c r="A53" s="1" t="s">
        <v>50</v>
      </c>
      <c r="B53" s="1" t="s">
        <v>27</v>
      </c>
      <c r="C53" s="1">
        <f>IF(B53="East",1,0)</f>
        <v>0</v>
      </c>
      <c r="D53" s="1">
        <f>IF(B53="West",1,0)</f>
        <v>1</v>
      </c>
      <c r="E53" s="1">
        <f>IF(B53="North",1,0)</f>
        <v>0</v>
      </c>
      <c r="F53" s="1" t="s">
        <v>28</v>
      </c>
      <c r="G53" s="1">
        <f>IF(F53="Residential",1,0)</f>
        <v>0</v>
      </c>
      <c r="H53" s="1">
        <f>IF(F53="High Street",1,0)</f>
        <v>0</v>
      </c>
      <c r="I53" s="1">
        <f>IF(F53="Mall",1,0)</f>
        <v>1</v>
      </c>
    </row>
    <row r="54" spans="1:9">
      <c r="A54" s="1" t="s">
        <v>92</v>
      </c>
      <c r="B54" s="1" t="s">
        <v>24</v>
      </c>
      <c r="C54" s="1">
        <f>IF(B54="East",1,0)</f>
        <v>0</v>
      </c>
      <c r="D54" s="1">
        <f>IF(B54="West",1,0)</f>
        <v>0</v>
      </c>
      <c r="E54" s="1">
        <f>IF(B54="North",1,0)</f>
        <v>0</v>
      </c>
      <c r="F54" s="1" t="s">
        <v>18</v>
      </c>
      <c r="G54" s="1">
        <f>IF(F54="Residential",1,0)</f>
        <v>0</v>
      </c>
      <c r="H54" s="1">
        <f>IF(F54="High Street",1,0)</f>
        <v>1</v>
      </c>
      <c r="I54" s="1">
        <f>IF(F54="Mall",1,0)</f>
        <v>0</v>
      </c>
    </row>
    <row r="55" spans="1:9">
      <c r="A55" s="1" t="s">
        <v>85</v>
      </c>
      <c r="B55" s="1" t="s">
        <v>24</v>
      </c>
      <c r="C55" s="1">
        <f>IF(B55="East",1,0)</f>
        <v>0</v>
      </c>
      <c r="D55" s="1">
        <f>IF(B55="West",1,0)</f>
        <v>0</v>
      </c>
      <c r="E55" s="1">
        <f>IF(B55="North",1,0)</f>
        <v>0</v>
      </c>
      <c r="F55" s="1" t="s">
        <v>21</v>
      </c>
      <c r="G55" s="1">
        <f>IF(F55="Residential",1,0)</f>
        <v>0</v>
      </c>
      <c r="H55" s="1">
        <f>IF(F55="High Street",1,0)</f>
        <v>0</v>
      </c>
      <c r="I55" s="1">
        <f>IF(F55="Mall",1,0)</f>
        <v>0</v>
      </c>
    </row>
    <row r="56" spans="1:9">
      <c r="A56" s="1" t="s">
        <v>83</v>
      </c>
      <c r="B56" s="1" t="s">
        <v>15</v>
      </c>
      <c r="C56" s="1">
        <f>IF(B56="East",1,0)</f>
        <v>1</v>
      </c>
      <c r="D56" s="1">
        <f>IF(B56="West",1,0)</f>
        <v>0</v>
      </c>
      <c r="E56" s="1">
        <f>IF(B56="North",1,0)</f>
        <v>0</v>
      </c>
      <c r="F56" s="1" t="s">
        <v>18</v>
      </c>
      <c r="G56" s="1">
        <f>IF(F56="Residential",1,0)</f>
        <v>0</v>
      </c>
      <c r="H56" s="1">
        <f>IF(F56="High Street",1,0)</f>
        <v>1</v>
      </c>
      <c r="I56" s="1">
        <f>IF(F56="Mall",1,0)</f>
        <v>0</v>
      </c>
    </row>
    <row r="57" spans="1:9">
      <c r="A57" s="1" t="s">
        <v>77</v>
      </c>
      <c r="B57" s="1" t="s">
        <v>15</v>
      </c>
      <c r="C57" s="1">
        <f>IF(B57="East",1,0)</f>
        <v>1</v>
      </c>
      <c r="D57" s="1">
        <f>IF(B57="West",1,0)</f>
        <v>0</v>
      </c>
      <c r="E57" s="1">
        <f>IF(B57="North",1,0)</f>
        <v>0</v>
      </c>
      <c r="F57" s="1" t="s">
        <v>18</v>
      </c>
      <c r="G57" s="1">
        <f>IF(F57="Residential",1,0)</f>
        <v>0</v>
      </c>
      <c r="H57" s="1">
        <f>IF(F57="High Street",1,0)</f>
        <v>1</v>
      </c>
      <c r="I57" s="1">
        <f>IF(F57="Mall",1,0)</f>
        <v>0</v>
      </c>
    </row>
    <row r="58" spans="1:9">
      <c r="A58" s="1" t="s">
        <v>14</v>
      </c>
      <c r="B58" s="1" t="s">
        <v>15</v>
      </c>
      <c r="C58" s="1">
        <f>IF(B58="East",1,0)</f>
        <v>1</v>
      </c>
      <c r="D58" s="1">
        <f>IF(B58="West",1,0)</f>
        <v>0</v>
      </c>
      <c r="E58" s="1">
        <f>IF(B58="North",1,0)</f>
        <v>0</v>
      </c>
      <c r="F58" s="1" t="s">
        <v>16</v>
      </c>
      <c r="G58" s="1">
        <f>IF(F58="Residential",1,0)</f>
        <v>1</v>
      </c>
      <c r="H58" s="1">
        <f>IF(F58="High Street",1,0)</f>
        <v>0</v>
      </c>
      <c r="I58" s="1">
        <f>IF(F58="Mall",1,0)</f>
        <v>0</v>
      </c>
    </row>
    <row r="59" spans="1:9">
      <c r="A59" s="1" t="s">
        <v>35</v>
      </c>
      <c r="B59" s="1" t="s">
        <v>27</v>
      </c>
      <c r="C59" s="1">
        <f>IF(B59="East",1,0)</f>
        <v>0</v>
      </c>
      <c r="D59" s="1">
        <f>IF(B59="West",1,0)</f>
        <v>1</v>
      </c>
      <c r="E59" s="1">
        <f>IF(B59="North",1,0)</f>
        <v>0</v>
      </c>
      <c r="F59" s="1" t="s">
        <v>18</v>
      </c>
      <c r="G59" s="1">
        <f>IF(F59="Residential",1,0)</f>
        <v>0</v>
      </c>
      <c r="H59" s="1">
        <f>IF(F59="High Street",1,0)</f>
        <v>1</v>
      </c>
      <c r="I59" s="1">
        <f>IF(F59="Mall",1,0)</f>
        <v>0</v>
      </c>
    </row>
    <row r="60" spans="1:9">
      <c r="A60" s="1" t="s">
        <v>34</v>
      </c>
      <c r="B60" s="1" t="s">
        <v>20</v>
      </c>
      <c r="C60" s="1">
        <f>IF(B60="East",1,0)</f>
        <v>0</v>
      </c>
      <c r="D60" s="1">
        <f>IF(B60="West",1,0)</f>
        <v>0</v>
      </c>
      <c r="E60" s="1">
        <f>IF(B60="North",1,0)</f>
        <v>1</v>
      </c>
      <c r="F60" s="1" t="s">
        <v>28</v>
      </c>
      <c r="G60" s="1">
        <f>IF(F60="Residential",1,0)</f>
        <v>0</v>
      </c>
      <c r="H60" s="1">
        <f>IF(F60="High Street",1,0)</f>
        <v>0</v>
      </c>
      <c r="I60" s="1">
        <f>IF(F60="Mall",1,0)</f>
        <v>1</v>
      </c>
    </row>
    <row r="61" spans="1:9">
      <c r="A61" s="1" t="s">
        <v>99</v>
      </c>
      <c r="B61" s="1" t="s">
        <v>24</v>
      </c>
      <c r="C61" s="1">
        <f>IF(B61="East",1,0)</f>
        <v>0</v>
      </c>
      <c r="D61" s="1">
        <f>IF(B61="West",1,0)</f>
        <v>0</v>
      </c>
      <c r="E61" s="1">
        <f>IF(B61="North",1,0)</f>
        <v>0</v>
      </c>
      <c r="F61" s="1" t="s">
        <v>18</v>
      </c>
      <c r="G61" s="1">
        <f>IF(F61="Residential",1,0)</f>
        <v>0</v>
      </c>
      <c r="H61" s="1">
        <f>IF(F61="High Street",1,0)</f>
        <v>1</v>
      </c>
      <c r="I61" s="1">
        <f>IF(F61="Mall",1,0)</f>
        <v>0</v>
      </c>
    </row>
    <row r="62" spans="1:9">
      <c r="A62" s="1" t="s">
        <v>70</v>
      </c>
      <c r="B62" s="1" t="s">
        <v>27</v>
      </c>
      <c r="C62" s="1">
        <f>IF(B62="East",1,0)</f>
        <v>0</v>
      </c>
      <c r="D62" s="1">
        <f>IF(B62="West",1,0)</f>
        <v>1</v>
      </c>
      <c r="E62" s="1">
        <f>IF(B62="North",1,0)</f>
        <v>0</v>
      </c>
      <c r="F62" s="1" t="s">
        <v>16</v>
      </c>
      <c r="G62" s="1">
        <f>IF(F62="Residential",1,0)</f>
        <v>1</v>
      </c>
      <c r="H62" s="1">
        <f>IF(F62="High Street",1,0)</f>
        <v>0</v>
      </c>
      <c r="I62" s="1">
        <f>IF(F62="Mall",1,0)</f>
        <v>0</v>
      </c>
    </row>
    <row r="63" spans="1:9">
      <c r="A63" s="1" t="s">
        <v>52</v>
      </c>
      <c r="B63" s="1" t="s">
        <v>20</v>
      </c>
      <c r="C63" s="1">
        <f>IF(B63="East",1,0)</f>
        <v>0</v>
      </c>
      <c r="D63" s="1">
        <f>IF(B63="West",1,0)</f>
        <v>0</v>
      </c>
      <c r="E63" s="1">
        <f>IF(B63="North",1,0)</f>
        <v>1</v>
      </c>
      <c r="F63" s="1" t="s">
        <v>18</v>
      </c>
      <c r="G63" s="1">
        <f>IF(F63="Residential",1,0)</f>
        <v>0</v>
      </c>
      <c r="H63" s="1">
        <f>IF(F63="High Street",1,0)</f>
        <v>1</v>
      </c>
      <c r="I63" s="1">
        <f>IF(F63="Mall",1,0)</f>
        <v>0</v>
      </c>
    </row>
    <row r="64" spans="1:9">
      <c r="A64" s="1" t="s">
        <v>33</v>
      </c>
      <c r="B64" s="1" t="s">
        <v>27</v>
      </c>
      <c r="C64" s="1">
        <f>IF(B64="East",1,0)</f>
        <v>0</v>
      </c>
      <c r="D64" s="1">
        <f>IF(B64="West",1,0)</f>
        <v>1</v>
      </c>
      <c r="E64" s="1">
        <f>IF(B64="North",1,0)</f>
        <v>0</v>
      </c>
      <c r="F64" s="1" t="s">
        <v>16</v>
      </c>
      <c r="G64" s="1">
        <f>IF(F64="Residential",1,0)</f>
        <v>1</v>
      </c>
      <c r="H64" s="1">
        <f>IF(F64="High Street",1,0)</f>
        <v>0</v>
      </c>
      <c r="I64" s="1">
        <f>IF(F64="Mall",1,0)</f>
        <v>0</v>
      </c>
    </row>
    <row r="65" spans="1:9">
      <c r="A65" s="1" t="s">
        <v>40</v>
      </c>
      <c r="B65" s="1" t="s">
        <v>15</v>
      </c>
      <c r="C65" s="1">
        <f>IF(B65="East",1,0)</f>
        <v>1</v>
      </c>
      <c r="D65" s="1">
        <f>IF(B65="West",1,0)</f>
        <v>0</v>
      </c>
      <c r="E65" s="1">
        <f>IF(B65="North",1,0)</f>
        <v>0</v>
      </c>
      <c r="F65" s="1" t="s">
        <v>16</v>
      </c>
      <c r="G65" s="1">
        <f>IF(F65="Residential",1,0)</f>
        <v>1</v>
      </c>
      <c r="H65" s="1">
        <f>IF(F65="High Street",1,0)</f>
        <v>0</v>
      </c>
      <c r="I65" s="1">
        <f>IF(F65="Mall",1,0)</f>
        <v>0</v>
      </c>
    </row>
    <row r="66" spans="1:9">
      <c r="A66" s="1" t="s">
        <v>39</v>
      </c>
      <c r="B66" s="1" t="s">
        <v>15</v>
      </c>
      <c r="C66" s="1">
        <f>IF(B66="East",1,0)</f>
        <v>1</v>
      </c>
      <c r="D66" s="1">
        <f>IF(B66="West",1,0)</f>
        <v>0</v>
      </c>
      <c r="E66" s="1">
        <f>IF(B66="North",1,0)</f>
        <v>0</v>
      </c>
      <c r="F66" s="1" t="s">
        <v>18</v>
      </c>
      <c r="G66" s="1">
        <f>IF(F66="Residential",1,0)</f>
        <v>0</v>
      </c>
      <c r="H66" s="1">
        <f>IF(F66="High Street",1,0)</f>
        <v>1</v>
      </c>
      <c r="I66" s="1">
        <f>IF(F66="Mall",1,0)</f>
        <v>0</v>
      </c>
    </row>
    <row r="67" spans="1:9">
      <c r="A67" s="1" t="s">
        <v>36</v>
      </c>
      <c r="B67" s="1" t="s">
        <v>15</v>
      </c>
      <c r="C67" s="1">
        <f>IF(B67="East",1,0)</f>
        <v>1</v>
      </c>
      <c r="D67" s="1">
        <f>IF(B67="West",1,0)</f>
        <v>0</v>
      </c>
      <c r="E67" s="1">
        <f>IF(B67="North",1,0)</f>
        <v>0</v>
      </c>
      <c r="F67" s="1" t="s">
        <v>21</v>
      </c>
      <c r="G67" s="1">
        <f>IF(F67="Residential",1,0)</f>
        <v>0</v>
      </c>
      <c r="H67" s="1">
        <f>IF(F67="High Street",1,0)</f>
        <v>0</v>
      </c>
      <c r="I67" s="1">
        <f>IF(F67="Mall",1,0)</f>
        <v>0</v>
      </c>
    </row>
    <row r="68" spans="1:9">
      <c r="A68" s="1" t="s">
        <v>58</v>
      </c>
      <c r="B68" s="1" t="s">
        <v>20</v>
      </c>
      <c r="C68" s="1">
        <f>IF(B68="East",1,0)</f>
        <v>0</v>
      </c>
      <c r="D68" s="1">
        <f>IF(B68="West",1,0)</f>
        <v>0</v>
      </c>
      <c r="E68" s="1">
        <f>IF(B68="North",1,0)</f>
        <v>1</v>
      </c>
      <c r="F68" s="1" t="s">
        <v>16</v>
      </c>
      <c r="G68" s="1">
        <f>IF(F68="Residential",1,0)</f>
        <v>1</v>
      </c>
      <c r="H68" s="1">
        <f>IF(F68="High Street",1,0)</f>
        <v>0</v>
      </c>
      <c r="I68" s="1">
        <f>IF(F68="Mall",1,0)</f>
        <v>0</v>
      </c>
    </row>
    <row r="69" spans="1:9">
      <c r="A69" s="1" t="s">
        <v>95</v>
      </c>
      <c r="B69" s="1" t="s">
        <v>27</v>
      </c>
      <c r="C69" s="1">
        <f>IF(B69="East",1,0)</f>
        <v>0</v>
      </c>
      <c r="D69" s="1">
        <f>IF(B69="West",1,0)</f>
        <v>1</v>
      </c>
      <c r="E69" s="1">
        <f>IF(B69="North",1,0)</f>
        <v>0</v>
      </c>
      <c r="F69" s="1" t="s">
        <v>18</v>
      </c>
      <c r="G69" s="1">
        <f>IF(F69="Residential",1,0)</f>
        <v>0</v>
      </c>
      <c r="H69" s="1">
        <f>IF(F69="High Street",1,0)</f>
        <v>1</v>
      </c>
      <c r="I69" s="1">
        <f>IF(F69="Mall",1,0)</f>
        <v>0</v>
      </c>
    </row>
    <row r="70" spans="1:9">
      <c r="A70" s="1" t="s">
        <v>100</v>
      </c>
      <c r="B70" s="1" t="s">
        <v>20</v>
      </c>
      <c r="C70" s="1">
        <f>IF(B70="East",1,0)</f>
        <v>0</v>
      </c>
      <c r="D70" s="1">
        <f>IF(B70="West",1,0)</f>
        <v>0</v>
      </c>
      <c r="E70" s="1">
        <f>IF(B70="North",1,0)</f>
        <v>1</v>
      </c>
      <c r="F70" s="1" t="s">
        <v>16</v>
      </c>
      <c r="G70" s="1">
        <f>IF(F70="Residential",1,0)</f>
        <v>1</v>
      </c>
      <c r="H70" s="1">
        <f>IF(F70="High Street",1,0)</f>
        <v>0</v>
      </c>
      <c r="I70" s="1">
        <f>IF(F70="Mall",1,0)</f>
        <v>0</v>
      </c>
    </row>
    <row r="71" spans="1:9">
      <c r="A71" s="1" t="s">
        <v>72</v>
      </c>
      <c r="B71" s="1" t="s">
        <v>15</v>
      </c>
      <c r="C71" s="1">
        <f>IF(B71="East",1,0)</f>
        <v>1</v>
      </c>
      <c r="D71" s="1">
        <f>IF(B71="West",1,0)</f>
        <v>0</v>
      </c>
      <c r="E71" s="1">
        <f>IF(B71="North",1,0)</f>
        <v>0</v>
      </c>
      <c r="F71" s="1" t="s">
        <v>21</v>
      </c>
      <c r="G71" s="1">
        <f>IF(F71="Residential",1,0)</f>
        <v>0</v>
      </c>
      <c r="H71" s="1">
        <f>IF(F71="High Street",1,0)</f>
        <v>0</v>
      </c>
      <c r="I71" s="1">
        <f>IF(F71="Mall",1,0)</f>
        <v>0</v>
      </c>
    </row>
    <row r="72" spans="1:9">
      <c r="A72" s="1" t="s">
        <v>101</v>
      </c>
      <c r="B72" s="1" t="s">
        <v>15</v>
      </c>
      <c r="C72" s="1">
        <f>IF(B72="East",1,0)</f>
        <v>1</v>
      </c>
      <c r="D72" s="1">
        <f>IF(B72="West",1,0)</f>
        <v>0</v>
      </c>
      <c r="E72" s="1">
        <f>IF(B72="North",1,0)</f>
        <v>0</v>
      </c>
      <c r="F72" s="1" t="s">
        <v>16</v>
      </c>
      <c r="G72" s="1">
        <f>IF(F72="Residential",1,0)</f>
        <v>1</v>
      </c>
      <c r="H72" s="1">
        <f>IF(F72="High Street",1,0)</f>
        <v>0</v>
      </c>
      <c r="I72" s="1">
        <f>IF(F72="Mall",1,0)</f>
        <v>0</v>
      </c>
    </row>
    <row r="73" spans="1:9">
      <c r="A73" s="1" t="s">
        <v>43</v>
      </c>
      <c r="B73" s="1" t="s">
        <v>27</v>
      </c>
      <c r="C73" s="1">
        <f>IF(B73="East",1,0)</f>
        <v>0</v>
      </c>
      <c r="D73" s="1">
        <f>IF(B73="West",1,0)</f>
        <v>1</v>
      </c>
      <c r="E73" s="1">
        <f>IF(B73="North",1,0)</f>
        <v>0</v>
      </c>
      <c r="F73" s="1" t="s">
        <v>18</v>
      </c>
      <c r="G73" s="1">
        <f>IF(F73="Residential",1,0)</f>
        <v>0</v>
      </c>
      <c r="H73" s="1">
        <f>IF(F73="High Street",1,0)</f>
        <v>1</v>
      </c>
      <c r="I73" s="1">
        <f>IF(F73="Mall",1,0)</f>
        <v>0</v>
      </c>
    </row>
    <row r="74" spans="1:9">
      <c r="A74" s="1" t="s">
        <v>59</v>
      </c>
      <c r="B74" s="1" t="s">
        <v>24</v>
      </c>
      <c r="C74" s="1">
        <f>IF(B74="East",1,0)</f>
        <v>0</v>
      </c>
      <c r="D74" s="1">
        <f>IF(B74="West",1,0)</f>
        <v>0</v>
      </c>
      <c r="E74" s="1">
        <f>IF(B74="North",1,0)</f>
        <v>0</v>
      </c>
      <c r="F74" s="1" t="s">
        <v>28</v>
      </c>
      <c r="G74" s="1">
        <f>IF(F74="Residential",1,0)</f>
        <v>0</v>
      </c>
      <c r="H74" s="1">
        <f>IF(F74="High Street",1,0)</f>
        <v>0</v>
      </c>
      <c r="I74" s="1">
        <f>IF(F74="Mall",1,0)</f>
        <v>1</v>
      </c>
    </row>
    <row r="75" spans="1:9">
      <c r="A75" s="1" t="s">
        <v>63</v>
      </c>
      <c r="B75" s="1" t="s">
        <v>20</v>
      </c>
      <c r="C75" s="1">
        <f>IF(B75="East",1,0)</f>
        <v>0</v>
      </c>
      <c r="D75" s="1">
        <f>IF(B75="West",1,0)</f>
        <v>0</v>
      </c>
      <c r="E75" s="1">
        <f>IF(B75="North",1,0)</f>
        <v>1</v>
      </c>
      <c r="F75" s="1" t="s">
        <v>28</v>
      </c>
      <c r="G75" s="1">
        <f>IF(F75="Residential",1,0)</f>
        <v>0</v>
      </c>
      <c r="H75" s="1">
        <f>IF(F75="High Street",1,0)</f>
        <v>0</v>
      </c>
      <c r="I75" s="1">
        <f>IF(F75="Mall",1,0)</f>
        <v>1</v>
      </c>
    </row>
    <row r="76" spans="1:9">
      <c r="A76" s="1" t="s">
        <v>41</v>
      </c>
      <c r="B76" s="1" t="s">
        <v>24</v>
      </c>
      <c r="C76" s="1">
        <f>IF(B76="East",1,0)</f>
        <v>0</v>
      </c>
      <c r="D76" s="1">
        <f>IF(B76="West",1,0)</f>
        <v>0</v>
      </c>
      <c r="E76" s="1">
        <f>IF(B76="North",1,0)</f>
        <v>0</v>
      </c>
      <c r="F76" s="1" t="s">
        <v>18</v>
      </c>
      <c r="G76" s="1">
        <f>IF(F76="Residential",1,0)</f>
        <v>0</v>
      </c>
      <c r="H76" s="1">
        <f>IF(F76="High Street",1,0)</f>
        <v>1</v>
      </c>
      <c r="I76" s="1">
        <f>IF(F76="Mall",1,0)</f>
        <v>0</v>
      </c>
    </row>
    <row r="77" spans="1:9">
      <c r="A77" s="1" t="s">
        <v>65</v>
      </c>
      <c r="B77" s="1" t="s">
        <v>15</v>
      </c>
      <c r="C77" s="1">
        <f>IF(B77="East",1,0)</f>
        <v>1</v>
      </c>
      <c r="D77" s="1">
        <f>IF(B77="West",1,0)</f>
        <v>0</v>
      </c>
      <c r="E77" s="1">
        <f>IF(B77="North",1,0)</f>
        <v>0</v>
      </c>
      <c r="F77" s="1" t="s">
        <v>16</v>
      </c>
      <c r="G77" s="1">
        <f>IF(F77="Residential",1,0)</f>
        <v>1</v>
      </c>
      <c r="H77" s="1">
        <f>IF(F77="High Street",1,0)</f>
        <v>0</v>
      </c>
      <c r="I77" s="1">
        <f>IF(F77="Mall",1,0)</f>
        <v>0</v>
      </c>
    </row>
    <row r="78" spans="1:9">
      <c r="A78" s="1" t="s">
        <v>49</v>
      </c>
      <c r="B78" s="1" t="s">
        <v>15</v>
      </c>
      <c r="C78" s="1">
        <f>IF(B78="East",1,0)</f>
        <v>1</v>
      </c>
      <c r="D78" s="1">
        <f>IF(B78="West",1,0)</f>
        <v>0</v>
      </c>
      <c r="E78" s="1">
        <f>IF(B78="North",1,0)</f>
        <v>0</v>
      </c>
      <c r="F78" s="1" t="s">
        <v>28</v>
      </c>
      <c r="G78" s="1">
        <f>IF(F78="Residential",1,0)</f>
        <v>0</v>
      </c>
      <c r="H78" s="1">
        <f>IF(F78="High Street",1,0)</f>
        <v>0</v>
      </c>
      <c r="I78" s="1">
        <f>IF(F78="Mall",1,0)</f>
        <v>1</v>
      </c>
    </row>
    <row r="79" spans="1:9">
      <c r="A79" s="1" t="s">
        <v>97</v>
      </c>
      <c r="B79" s="1" t="s">
        <v>20</v>
      </c>
      <c r="C79" s="1">
        <f>IF(B79="East",1,0)</f>
        <v>0</v>
      </c>
      <c r="D79" s="1">
        <f>IF(B79="West",1,0)</f>
        <v>0</v>
      </c>
      <c r="E79" s="1">
        <f>IF(B79="North",1,0)</f>
        <v>1</v>
      </c>
      <c r="F79" s="1" t="s">
        <v>28</v>
      </c>
      <c r="G79" s="1">
        <f>IF(F79="Residential",1,0)</f>
        <v>0</v>
      </c>
      <c r="H79" s="1">
        <f>IF(F79="High Street",1,0)</f>
        <v>0</v>
      </c>
      <c r="I79" s="1">
        <f>IF(F79="Mall",1,0)</f>
        <v>1</v>
      </c>
    </row>
    <row r="80" spans="1:9">
      <c r="A80" s="1" t="s">
        <v>94</v>
      </c>
      <c r="B80" s="1" t="s">
        <v>15</v>
      </c>
      <c r="C80" s="1">
        <f>IF(B80="East",1,0)</f>
        <v>1</v>
      </c>
      <c r="D80" s="1">
        <f>IF(B80="West",1,0)</f>
        <v>0</v>
      </c>
      <c r="E80" s="1">
        <f>IF(B80="North",1,0)</f>
        <v>0</v>
      </c>
      <c r="F80" s="1" t="s">
        <v>16</v>
      </c>
      <c r="G80" s="1">
        <f>IF(F80="Residential",1,0)</f>
        <v>1</v>
      </c>
      <c r="H80" s="1">
        <f>IF(F80="High Street",1,0)</f>
        <v>0</v>
      </c>
      <c r="I80" s="1">
        <f>IF(F80="Mall",1,0)</f>
        <v>0</v>
      </c>
    </row>
    <row r="81" spans="1:9">
      <c r="A81" s="1" t="s">
        <v>19</v>
      </c>
      <c r="B81" s="1" t="s">
        <v>20</v>
      </c>
      <c r="C81" s="1">
        <f>IF(B81="East",1,0)</f>
        <v>0</v>
      </c>
      <c r="D81" s="1">
        <f>IF(B81="West",1,0)</f>
        <v>0</v>
      </c>
      <c r="E81" s="1">
        <f>IF(B81="North",1,0)</f>
        <v>1</v>
      </c>
      <c r="F81" s="1" t="s">
        <v>21</v>
      </c>
      <c r="G81" s="1">
        <f>IF(F81="Residential",1,0)</f>
        <v>0</v>
      </c>
      <c r="H81" s="1">
        <f>IF(F81="High Street",1,0)</f>
        <v>0</v>
      </c>
      <c r="I81" s="1">
        <f>IF(F81="Mall",1,0)</f>
        <v>0</v>
      </c>
    </row>
    <row r="82" spans="1:9">
      <c r="A82" s="1" t="s">
        <v>73</v>
      </c>
      <c r="B82" s="1" t="s">
        <v>15</v>
      </c>
      <c r="C82" s="1">
        <f>IF(B82="East",1,0)</f>
        <v>1</v>
      </c>
      <c r="D82" s="1">
        <f>IF(B82="West",1,0)</f>
        <v>0</v>
      </c>
      <c r="E82" s="1">
        <f>IF(B82="North",1,0)</f>
        <v>0</v>
      </c>
      <c r="F82" s="1" t="s">
        <v>28</v>
      </c>
      <c r="G82" s="1">
        <f>IF(F82="Residential",1,0)</f>
        <v>0</v>
      </c>
      <c r="H82" s="1">
        <f>IF(F82="High Street",1,0)</f>
        <v>0</v>
      </c>
      <c r="I82" s="1">
        <f>IF(F82="Mall",1,0)</f>
        <v>1</v>
      </c>
    </row>
    <row r="83" spans="1:9">
      <c r="A83" s="1" t="s">
        <v>26</v>
      </c>
      <c r="B83" s="1" t="s">
        <v>27</v>
      </c>
      <c r="C83" s="1">
        <f>IF(B83="East",1,0)</f>
        <v>0</v>
      </c>
      <c r="D83" s="1">
        <f>IF(B83="West",1,0)</f>
        <v>1</v>
      </c>
      <c r="E83" s="1">
        <f>IF(B83="North",1,0)</f>
        <v>0</v>
      </c>
      <c r="F83" s="1" t="s">
        <v>28</v>
      </c>
      <c r="G83" s="1">
        <f>IF(F83="Residential",1,0)</f>
        <v>0</v>
      </c>
      <c r="H83" s="1">
        <f>IF(F83="High Street",1,0)</f>
        <v>0</v>
      </c>
      <c r="I83" s="1">
        <f>IF(F83="Mall",1,0)</f>
        <v>1</v>
      </c>
    </row>
    <row r="84" spans="1:9">
      <c r="A84" s="1" t="s">
        <v>17</v>
      </c>
      <c r="B84" s="1" t="s">
        <v>15</v>
      </c>
      <c r="C84" s="1">
        <f>IF(B84="East",1,0)</f>
        <v>1</v>
      </c>
      <c r="D84" s="1">
        <f>IF(B84="West",1,0)</f>
        <v>0</v>
      </c>
      <c r="E84" s="1">
        <f>IF(B84="North",1,0)</f>
        <v>0</v>
      </c>
      <c r="F84" s="1" t="s">
        <v>18</v>
      </c>
      <c r="G84" s="1">
        <f>IF(F84="Residential",1,0)</f>
        <v>0</v>
      </c>
      <c r="H84" s="1">
        <f>IF(F84="High Street",1,0)</f>
        <v>1</v>
      </c>
      <c r="I84" s="1">
        <f>IF(F84="Mall",1,0)</f>
        <v>0</v>
      </c>
    </row>
    <row r="85" spans="1:9">
      <c r="A85" s="1" t="s">
        <v>69</v>
      </c>
      <c r="B85" s="1" t="s">
        <v>15</v>
      </c>
      <c r="C85" s="1">
        <f>IF(B85="East",1,0)</f>
        <v>1</v>
      </c>
      <c r="D85" s="1">
        <f>IF(B85="West",1,0)</f>
        <v>0</v>
      </c>
      <c r="E85" s="1">
        <f>IF(B85="North",1,0)</f>
        <v>0</v>
      </c>
      <c r="F85" s="1" t="s">
        <v>18</v>
      </c>
      <c r="G85" s="1">
        <f>IF(F85="Residential",1,0)</f>
        <v>0</v>
      </c>
      <c r="H85" s="1">
        <f>IF(F85="High Street",1,0)</f>
        <v>1</v>
      </c>
      <c r="I85" s="1">
        <f>IF(F85="Mall",1,0)</f>
        <v>0</v>
      </c>
    </row>
    <row r="86" spans="1:9">
      <c r="A86" s="1" t="s">
        <v>92</v>
      </c>
      <c r="B86" s="1" t="s">
        <v>24</v>
      </c>
      <c r="C86" s="1">
        <f>IF(B86="East",1,0)</f>
        <v>0</v>
      </c>
      <c r="D86" s="1">
        <f>IF(B86="West",1,0)</f>
        <v>0</v>
      </c>
      <c r="E86" s="1">
        <f>IF(B86="North",1,0)</f>
        <v>0</v>
      </c>
      <c r="F86" s="1" t="s">
        <v>18</v>
      </c>
      <c r="G86" s="1">
        <f>IF(F86="Residential",1,0)</f>
        <v>0</v>
      </c>
      <c r="H86" s="1">
        <f>IF(F86="High Street",1,0)</f>
        <v>1</v>
      </c>
      <c r="I86" s="1">
        <f>IF(F86="Mall",1,0)</f>
        <v>0</v>
      </c>
    </row>
    <row r="87" spans="1:9">
      <c r="A87" s="1" t="s">
        <v>96</v>
      </c>
      <c r="B87" s="1" t="s">
        <v>27</v>
      </c>
      <c r="C87" s="1">
        <f>IF(B87="East",1,0)</f>
        <v>0</v>
      </c>
      <c r="D87" s="1">
        <f>IF(B87="West",1,0)</f>
        <v>1</v>
      </c>
      <c r="E87" s="1">
        <f>IF(B87="North",1,0)</f>
        <v>0</v>
      </c>
      <c r="F87" s="1" t="s">
        <v>18</v>
      </c>
      <c r="G87" s="1">
        <f>IF(F87="Residential",1,0)</f>
        <v>0</v>
      </c>
      <c r="H87" s="1">
        <f>IF(F87="High Street",1,0)</f>
        <v>1</v>
      </c>
      <c r="I87" s="1">
        <f>IF(F87="Mall",1,0)</f>
        <v>0</v>
      </c>
    </row>
    <row r="88" spans="1:9">
      <c r="A88" s="1" t="s">
        <v>42</v>
      </c>
      <c r="B88" s="1" t="s">
        <v>27</v>
      </c>
      <c r="C88" s="1">
        <f>IF(B88="East",1,0)</f>
        <v>0</v>
      </c>
      <c r="D88" s="1">
        <f>IF(B88="West",1,0)</f>
        <v>1</v>
      </c>
      <c r="E88" s="1">
        <f>IF(B88="North",1,0)</f>
        <v>0</v>
      </c>
      <c r="F88" s="1" t="s">
        <v>28</v>
      </c>
      <c r="G88" s="1">
        <f>IF(F88="Residential",1,0)</f>
        <v>0</v>
      </c>
      <c r="H88" s="1">
        <f>IF(F88="High Street",1,0)</f>
        <v>0</v>
      </c>
      <c r="I88" s="1">
        <f>IF(F88="Mall",1,0)</f>
        <v>1</v>
      </c>
    </row>
    <row r="89" spans="1:9">
      <c r="A89" s="1" t="s">
        <v>71</v>
      </c>
      <c r="B89" s="1" t="s">
        <v>20</v>
      </c>
      <c r="C89" s="1">
        <f>IF(B89="East",1,0)</f>
        <v>0</v>
      </c>
      <c r="D89" s="1">
        <f>IF(B89="West",1,0)</f>
        <v>0</v>
      </c>
      <c r="E89" s="1">
        <f>IF(B89="North",1,0)</f>
        <v>1</v>
      </c>
      <c r="F89" s="1" t="s">
        <v>16</v>
      </c>
      <c r="G89" s="1">
        <f>IF(F89="Residential",1,0)</f>
        <v>1</v>
      </c>
      <c r="H89" s="1">
        <f>IF(F89="High Street",1,0)</f>
        <v>0</v>
      </c>
      <c r="I89" s="1">
        <f>IF(F89="Mall",1,0)</f>
        <v>0</v>
      </c>
    </row>
    <row r="90" spans="1:9">
      <c r="A90" s="1" t="s">
        <v>88</v>
      </c>
      <c r="B90" s="1" t="s">
        <v>15</v>
      </c>
      <c r="C90" s="1">
        <f>IF(B90="East",1,0)</f>
        <v>1</v>
      </c>
      <c r="D90" s="1">
        <f>IF(B90="West",1,0)</f>
        <v>0</v>
      </c>
      <c r="E90" s="1">
        <f>IF(B90="North",1,0)</f>
        <v>0</v>
      </c>
      <c r="F90" s="1" t="s">
        <v>18</v>
      </c>
      <c r="G90" s="1">
        <f>IF(F90="Residential",1,0)</f>
        <v>0</v>
      </c>
      <c r="H90" s="1">
        <f>IF(F90="High Street",1,0)</f>
        <v>1</v>
      </c>
      <c r="I90" s="1">
        <f>IF(F90="Mall",1,0)</f>
        <v>0</v>
      </c>
    </row>
    <row r="91" spans="1:9">
      <c r="A91" s="1" t="s">
        <v>30</v>
      </c>
      <c r="B91" s="1" t="s">
        <v>20</v>
      </c>
      <c r="C91" s="1">
        <f>IF(B91="East",1,0)</f>
        <v>0</v>
      </c>
      <c r="D91" s="1">
        <f>IF(B91="West",1,0)</f>
        <v>0</v>
      </c>
      <c r="E91" s="1">
        <f>IF(B91="North",1,0)</f>
        <v>1</v>
      </c>
      <c r="F91" s="1" t="s">
        <v>16</v>
      </c>
      <c r="G91" s="1">
        <f>IF(F91="Residential",1,0)</f>
        <v>1</v>
      </c>
      <c r="H91" s="1">
        <f>IF(F91="High Street",1,0)</f>
        <v>0</v>
      </c>
      <c r="I91" s="1">
        <f>IF(F91="Mall",1,0)</f>
        <v>0</v>
      </c>
    </row>
    <row r="92" spans="1:9">
      <c r="A92" s="1" t="s">
        <v>58</v>
      </c>
      <c r="B92" s="1" t="s">
        <v>20</v>
      </c>
      <c r="C92" s="1">
        <f>IF(B92="East",1,0)</f>
        <v>0</v>
      </c>
      <c r="D92" s="1">
        <f>IF(B92="West",1,0)</f>
        <v>0</v>
      </c>
      <c r="E92" s="1">
        <f>IF(B92="North",1,0)</f>
        <v>1</v>
      </c>
      <c r="F92" s="1" t="s">
        <v>16</v>
      </c>
      <c r="G92" s="1">
        <f>IF(F92="Residential",1,0)</f>
        <v>1</v>
      </c>
      <c r="H92" s="1">
        <f>IF(F92="High Street",1,0)</f>
        <v>0</v>
      </c>
      <c r="I92" s="1">
        <f>IF(F92="Mall",1,0)</f>
        <v>0</v>
      </c>
    </row>
    <row r="93" spans="1:9">
      <c r="A93" s="1" t="s">
        <v>64</v>
      </c>
      <c r="B93" s="1" t="s">
        <v>15</v>
      </c>
      <c r="C93" s="1">
        <f>IF(B93="East",1,0)</f>
        <v>1</v>
      </c>
      <c r="D93" s="1">
        <f>IF(B93="West",1,0)</f>
        <v>0</v>
      </c>
      <c r="E93" s="1">
        <f>IF(B93="North",1,0)</f>
        <v>0</v>
      </c>
      <c r="F93" s="1" t="s">
        <v>16</v>
      </c>
      <c r="G93" s="1">
        <f>IF(F93="Residential",1,0)</f>
        <v>1</v>
      </c>
      <c r="H93" s="1">
        <f>IF(F93="High Street",1,0)</f>
        <v>0</v>
      </c>
      <c r="I93" s="1">
        <f>IF(F93="Mall",1,0)</f>
        <v>0</v>
      </c>
    </row>
    <row r="94" spans="1:9">
      <c r="A94" s="1" t="s">
        <v>38</v>
      </c>
      <c r="B94" s="1" t="s">
        <v>27</v>
      </c>
      <c r="C94" s="1">
        <f>IF(B94="East",1,0)</f>
        <v>0</v>
      </c>
      <c r="D94" s="1">
        <f>IF(B94="West",1,0)</f>
        <v>1</v>
      </c>
      <c r="E94" s="1">
        <f>IF(B94="North",1,0)</f>
        <v>0</v>
      </c>
      <c r="F94" s="1" t="s">
        <v>18</v>
      </c>
      <c r="G94" s="1">
        <f>IF(F94="Residential",1,0)</f>
        <v>0</v>
      </c>
      <c r="H94" s="1">
        <f>IF(F94="High Street",1,0)</f>
        <v>1</v>
      </c>
      <c r="I94" s="1">
        <f>IF(F94="Mall",1,0)</f>
        <v>0</v>
      </c>
    </row>
    <row r="95" spans="1:9">
      <c r="A95" s="1" t="s">
        <v>36</v>
      </c>
      <c r="B95" s="1" t="s">
        <v>15</v>
      </c>
      <c r="C95" s="1">
        <f>IF(B95="East",1,0)</f>
        <v>1</v>
      </c>
      <c r="D95" s="1">
        <f>IF(B95="West",1,0)</f>
        <v>0</v>
      </c>
      <c r="E95" s="1">
        <f>IF(B95="North",1,0)</f>
        <v>0</v>
      </c>
      <c r="F95" s="1" t="s">
        <v>21</v>
      </c>
      <c r="G95" s="1">
        <f>IF(F95="Residential",1,0)</f>
        <v>0</v>
      </c>
      <c r="H95" s="1">
        <f>IF(F95="High Street",1,0)</f>
        <v>0</v>
      </c>
      <c r="I95" s="1">
        <f>IF(F95="Mall",1,0)</f>
        <v>0</v>
      </c>
    </row>
    <row r="96" spans="1:9">
      <c r="A96" s="1" t="s">
        <v>76</v>
      </c>
      <c r="B96" s="1" t="s">
        <v>20</v>
      </c>
      <c r="C96" s="1">
        <f>IF(B96="East",1,0)</f>
        <v>0</v>
      </c>
      <c r="D96" s="1">
        <f>IF(B96="West",1,0)</f>
        <v>0</v>
      </c>
      <c r="E96" s="1">
        <f>IF(B96="North",1,0)</f>
        <v>1</v>
      </c>
      <c r="F96" s="1" t="s">
        <v>21</v>
      </c>
      <c r="G96" s="1">
        <f>IF(F96="Residential",1,0)</f>
        <v>0</v>
      </c>
      <c r="H96" s="1">
        <f>IF(F96="High Street",1,0)</f>
        <v>0</v>
      </c>
      <c r="I96" s="1">
        <f>IF(F96="Mall",1,0)</f>
        <v>0</v>
      </c>
    </row>
    <row r="97" spans="1:9">
      <c r="A97" s="1" t="s">
        <v>60</v>
      </c>
      <c r="B97" s="1" t="s">
        <v>15</v>
      </c>
      <c r="C97" s="1">
        <f>IF(B97="East",1,0)</f>
        <v>1</v>
      </c>
      <c r="D97" s="1">
        <f>IF(B97="West",1,0)</f>
        <v>0</v>
      </c>
      <c r="E97" s="1">
        <f>IF(B97="North",1,0)</f>
        <v>0</v>
      </c>
      <c r="F97" s="1" t="s">
        <v>18</v>
      </c>
      <c r="G97" s="1">
        <f>IF(F97="Residential",1,0)</f>
        <v>0</v>
      </c>
      <c r="H97" s="1">
        <f>IF(F97="High Street",1,0)</f>
        <v>1</v>
      </c>
      <c r="I97" s="1">
        <f>IF(F97="Mall",1,0)</f>
        <v>0</v>
      </c>
    </row>
    <row r="98" spans="1:9">
      <c r="A98" s="1" t="s">
        <v>71</v>
      </c>
      <c r="B98" s="1" t="s">
        <v>20</v>
      </c>
      <c r="C98" s="1">
        <f>IF(B98="East",1,0)</f>
        <v>0</v>
      </c>
      <c r="D98" s="1">
        <f>IF(B98="West",1,0)</f>
        <v>0</v>
      </c>
      <c r="E98" s="1">
        <f>IF(B98="North",1,0)</f>
        <v>1</v>
      </c>
      <c r="F98" s="1" t="s">
        <v>16</v>
      </c>
      <c r="G98" s="1">
        <f>IF(F98="Residential",1,0)</f>
        <v>1</v>
      </c>
      <c r="H98" s="1">
        <f>IF(F98="High Street",1,0)</f>
        <v>0</v>
      </c>
      <c r="I98" s="1">
        <f>IF(F98="Mall",1,0)</f>
        <v>0</v>
      </c>
    </row>
    <row r="99" spans="1:9">
      <c r="A99" s="1" t="s">
        <v>81</v>
      </c>
      <c r="B99" s="1" t="s">
        <v>27</v>
      </c>
      <c r="C99" s="1">
        <f>IF(B99="East",1,0)</f>
        <v>0</v>
      </c>
      <c r="D99" s="1">
        <f>IF(B99="West",1,0)</f>
        <v>1</v>
      </c>
      <c r="E99" s="1">
        <f>IF(B99="North",1,0)</f>
        <v>0</v>
      </c>
      <c r="F99" s="1" t="s">
        <v>28</v>
      </c>
      <c r="G99" s="1">
        <f>IF(F99="Residential",1,0)</f>
        <v>0</v>
      </c>
      <c r="H99" s="1">
        <f>IF(F99="High Street",1,0)</f>
        <v>0</v>
      </c>
      <c r="I99" s="1">
        <f>IF(F99="Mall",1,0)</f>
        <v>1</v>
      </c>
    </row>
    <row r="100" spans="1:9">
      <c r="A100" s="1" t="s">
        <v>89</v>
      </c>
      <c r="B100" s="1" t="s">
        <v>15</v>
      </c>
      <c r="C100" s="1">
        <f>IF(B100="East",1,0)</f>
        <v>1</v>
      </c>
      <c r="D100" s="1">
        <f>IF(B100="West",1,0)</f>
        <v>0</v>
      </c>
      <c r="E100" s="1">
        <f>IF(B100="North",1,0)</f>
        <v>0</v>
      </c>
      <c r="F100" s="1" t="s">
        <v>28</v>
      </c>
      <c r="G100" s="1">
        <f>IF(F100="Residential",1,0)</f>
        <v>0</v>
      </c>
      <c r="H100" s="1">
        <f>IF(F100="High Street",1,0)</f>
        <v>0</v>
      </c>
      <c r="I100" s="1">
        <f>IF(F100="Mall",1,0)</f>
        <v>1</v>
      </c>
    </row>
    <row r="101" spans="1:9">
      <c r="A101" s="1" t="s">
        <v>38</v>
      </c>
      <c r="B101" s="1" t="s">
        <v>27</v>
      </c>
      <c r="C101" s="1">
        <f>IF(B101="East",1,0)</f>
        <v>0</v>
      </c>
      <c r="D101" s="1">
        <f>IF(B101="West",1,0)</f>
        <v>1</v>
      </c>
      <c r="E101" s="1">
        <f>IF(B101="North",1,0)</f>
        <v>0</v>
      </c>
      <c r="F101" s="1" t="s">
        <v>18</v>
      </c>
      <c r="G101" s="1">
        <f>IF(F101="Residential",1,0)</f>
        <v>0</v>
      </c>
      <c r="H101" s="1">
        <f>IF(F101="High Street",1,0)</f>
        <v>1</v>
      </c>
      <c r="I101" s="1">
        <f>IF(F101="Mall",1,0)</f>
        <v>0</v>
      </c>
    </row>
    <row r="102" spans="1:9">
      <c r="A102" s="1" t="s">
        <v>83</v>
      </c>
      <c r="B102" s="1" t="s">
        <v>15</v>
      </c>
      <c r="C102" s="1">
        <f>IF(B102="East",1,0)</f>
        <v>1</v>
      </c>
      <c r="D102" s="1">
        <f>IF(B102="West",1,0)</f>
        <v>0</v>
      </c>
      <c r="E102" s="1">
        <f>IF(B102="North",1,0)</f>
        <v>0</v>
      </c>
      <c r="F102" s="1" t="s">
        <v>18</v>
      </c>
      <c r="G102" s="1">
        <f>IF(F102="Residential",1,0)</f>
        <v>0</v>
      </c>
      <c r="H102" s="1">
        <f>IF(F102="High Street",1,0)</f>
        <v>1</v>
      </c>
      <c r="I102" s="1">
        <f>IF(F102="Mall",1,0)</f>
        <v>0</v>
      </c>
    </row>
    <row r="103" spans="1:9">
      <c r="A103" s="1" t="s">
        <v>55</v>
      </c>
      <c r="B103" s="1" t="s">
        <v>20</v>
      </c>
      <c r="C103" s="1">
        <f>IF(B103="East",1,0)</f>
        <v>0</v>
      </c>
      <c r="D103" s="1">
        <f>IF(B103="West",1,0)</f>
        <v>0</v>
      </c>
      <c r="E103" s="1">
        <f>IF(B103="North",1,0)</f>
        <v>1</v>
      </c>
      <c r="F103" s="1" t="s">
        <v>18</v>
      </c>
      <c r="G103" s="1">
        <f>IF(F103="Residential",1,0)</f>
        <v>0</v>
      </c>
      <c r="H103" s="1">
        <f>IF(F103="High Street",1,0)</f>
        <v>1</v>
      </c>
      <c r="I103" s="1">
        <f>IF(F103="Mall",1,0)</f>
        <v>0</v>
      </c>
    </row>
    <row r="104" spans="1:9">
      <c r="A104" s="1" t="s">
        <v>68</v>
      </c>
      <c r="B104" s="1" t="s">
        <v>20</v>
      </c>
      <c r="C104" s="1">
        <f>IF(B104="East",1,0)</f>
        <v>0</v>
      </c>
      <c r="D104" s="1">
        <f>IF(B104="West",1,0)</f>
        <v>0</v>
      </c>
      <c r="E104" s="1">
        <f>IF(B104="North",1,0)</f>
        <v>1</v>
      </c>
      <c r="F104" s="1" t="s">
        <v>18</v>
      </c>
      <c r="G104" s="1">
        <f>IF(F104="Residential",1,0)</f>
        <v>0</v>
      </c>
      <c r="H104" s="1">
        <f>IF(F104="High Street",1,0)</f>
        <v>1</v>
      </c>
      <c r="I104" s="1">
        <f>IF(F104="Mall",1,0)</f>
        <v>0</v>
      </c>
    </row>
    <row r="105" spans="1:9">
      <c r="A105" s="1" t="s">
        <v>74</v>
      </c>
      <c r="B105" s="1" t="s">
        <v>15</v>
      </c>
      <c r="C105" s="1">
        <f>IF(B105="East",1,0)</f>
        <v>1</v>
      </c>
      <c r="D105" s="1">
        <f>IF(B105="West",1,0)</f>
        <v>0</v>
      </c>
      <c r="E105" s="1">
        <f>IF(B105="North",1,0)</f>
        <v>0</v>
      </c>
      <c r="F105" s="1" t="s">
        <v>18</v>
      </c>
      <c r="G105" s="1">
        <f>IF(F105="Residential",1,0)</f>
        <v>0</v>
      </c>
      <c r="H105" s="1">
        <f>IF(F105="High Street",1,0)</f>
        <v>1</v>
      </c>
      <c r="I105" s="1">
        <f>IF(F105="Mall",1,0)</f>
        <v>0</v>
      </c>
    </row>
    <row r="106" spans="1:9">
      <c r="A106" s="1" t="s">
        <v>81</v>
      </c>
      <c r="B106" s="1" t="s">
        <v>27</v>
      </c>
      <c r="C106" s="1">
        <f>IF(B106="East",1,0)</f>
        <v>0</v>
      </c>
      <c r="D106" s="1">
        <f>IF(B106="West",1,0)</f>
        <v>1</v>
      </c>
      <c r="E106" s="1">
        <f>IF(B106="North",1,0)</f>
        <v>0</v>
      </c>
      <c r="F106" s="1" t="s">
        <v>28</v>
      </c>
      <c r="G106" s="1">
        <f>IF(F106="Residential",1,0)</f>
        <v>0</v>
      </c>
      <c r="H106" s="1">
        <f>IF(F106="High Street",1,0)</f>
        <v>0</v>
      </c>
      <c r="I106" s="1">
        <f>IF(F106="Mall",1,0)</f>
        <v>1</v>
      </c>
    </row>
    <row r="107" spans="1:9">
      <c r="A107" s="1" t="s">
        <v>31</v>
      </c>
      <c r="B107" s="1" t="s">
        <v>20</v>
      </c>
      <c r="C107" s="1">
        <f>IF(B107="East",1,0)</f>
        <v>0</v>
      </c>
      <c r="D107" s="1">
        <f>IF(B107="West",1,0)</f>
        <v>0</v>
      </c>
      <c r="E107" s="1">
        <f>IF(B107="North",1,0)</f>
        <v>1</v>
      </c>
      <c r="F107" s="1" t="s">
        <v>28</v>
      </c>
      <c r="G107" s="1">
        <f>IF(F107="Residential",1,0)</f>
        <v>0</v>
      </c>
      <c r="H107" s="1">
        <f>IF(F107="High Street",1,0)</f>
        <v>0</v>
      </c>
      <c r="I107" s="1">
        <f>IF(F107="Mall",1,0)</f>
        <v>1</v>
      </c>
    </row>
    <row r="108" spans="1:9">
      <c r="A108" s="1" t="s">
        <v>65</v>
      </c>
      <c r="B108" s="1" t="s">
        <v>15</v>
      </c>
      <c r="C108" s="1">
        <f>IF(B108="East",1,0)</f>
        <v>1</v>
      </c>
      <c r="D108" s="1">
        <f>IF(B108="West",1,0)</f>
        <v>0</v>
      </c>
      <c r="E108" s="1">
        <f>IF(B108="North",1,0)</f>
        <v>0</v>
      </c>
      <c r="F108" s="1" t="s">
        <v>16</v>
      </c>
      <c r="G108" s="1">
        <f>IF(F108="Residential",1,0)</f>
        <v>1</v>
      </c>
      <c r="H108" s="1">
        <f>IF(F108="High Street",1,0)</f>
        <v>0</v>
      </c>
      <c r="I108" s="1">
        <f>IF(F108="Mall",1,0)</f>
        <v>0</v>
      </c>
    </row>
    <row r="109" spans="1:9">
      <c r="A109" s="1" t="s">
        <v>54</v>
      </c>
      <c r="B109" s="1" t="s">
        <v>15</v>
      </c>
      <c r="C109" s="1">
        <f>IF(B109="East",1,0)</f>
        <v>1</v>
      </c>
      <c r="D109" s="1">
        <f>IF(B109="West",1,0)</f>
        <v>0</v>
      </c>
      <c r="E109" s="1">
        <f>IF(B109="North",1,0)</f>
        <v>0</v>
      </c>
      <c r="F109" s="1" t="s">
        <v>18</v>
      </c>
      <c r="G109" s="1">
        <f>IF(F109="Residential",1,0)</f>
        <v>0</v>
      </c>
      <c r="H109" s="1">
        <f>IF(F109="High Street",1,0)</f>
        <v>1</v>
      </c>
      <c r="I109" s="1">
        <f>IF(F109="Mall",1,0)</f>
        <v>0</v>
      </c>
    </row>
    <row r="110" spans="1:9">
      <c r="A110" s="1" t="s">
        <v>63</v>
      </c>
      <c r="B110" s="1" t="s">
        <v>20</v>
      </c>
      <c r="C110" s="1">
        <f>IF(B110="East",1,0)</f>
        <v>0</v>
      </c>
      <c r="D110" s="1">
        <f>IF(B110="West",1,0)</f>
        <v>0</v>
      </c>
      <c r="E110" s="1">
        <f>IF(B110="North",1,0)</f>
        <v>1</v>
      </c>
      <c r="F110" s="1" t="s">
        <v>28</v>
      </c>
      <c r="G110" s="1">
        <f>IF(F110="Residential",1,0)</f>
        <v>0</v>
      </c>
      <c r="H110" s="1">
        <f>IF(F110="High Street",1,0)</f>
        <v>0</v>
      </c>
      <c r="I110" s="1">
        <f>IF(F110="Mall",1,0)</f>
        <v>1</v>
      </c>
    </row>
    <row r="111" spans="1:9">
      <c r="A111" s="1" t="s">
        <v>23</v>
      </c>
      <c r="B111" s="1" t="s">
        <v>24</v>
      </c>
      <c r="C111" s="1">
        <f>IF(B111="East",1,0)</f>
        <v>0</v>
      </c>
      <c r="D111" s="1">
        <f>IF(B111="West",1,0)</f>
        <v>0</v>
      </c>
      <c r="E111" s="1">
        <f>IF(B111="North",1,0)</f>
        <v>0</v>
      </c>
      <c r="F111" s="1" t="s">
        <v>16</v>
      </c>
      <c r="G111" s="1">
        <f>IF(F111="Residential",1,0)</f>
        <v>1</v>
      </c>
      <c r="H111" s="1">
        <f>IF(F111="High Street",1,0)</f>
        <v>0</v>
      </c>
      <c r="I111" s="1">
        <f>IF(F111="Mall",1,0)</f>
        <v>0</v>
      </c>
    </row>
    <row r="112" spans="1:9">
      <c r="A112" s="1" t="s">
        <v>65</v>
      </c>
      <c r="B112" s="1" t="s">
        <v>15</v>
      </c>
      <c r="C112" s="1">
        <f>IF(B112="East",1,0)</f>
        <v>1</v>
      </c>
      <c r="D112" s="1">
        <f>IF(B112="West",1,0)</f>
        <v>0</v>
      </c>
      <c r="E112" s="1">
        <f>IF(B112="North",1,0)</f>
        <v>0</v>
      </c>
      <c r="F112" s="1" t="s">
        <v>16</v>
      </c>
      <c r="G112" s="1">
        <f>IF(F112="Residential",1,0)</f>
        <v>1</v>
      </c>
      <c r="H112" s="1">
        <f>IF(F112="High Street",1,0)</f>
        <v>0</v>
      </c>
      <c r="I112" s="1">
        <f>IF(F112="Mall",1,0)</f>
        <v>0</v>
      </c>
    </row>
    <row r="113" spans="1:9">
      <c r="A113" s="1" t="s">
        <v>61</v>
      </c>
      <c r="B113" s="1" t="s">
        <v>20</v>
      </c>
      <c r="C113" s="1">
        <f>IF(B113="East",1,0)</f>
        <v>0</v>
      </c>
      <c r="D113" s="1">
        <f>IF(B113="West",1,0)</f>
        <v>0</v>
      </c>
      <c r="E113" s="1">
        <f>IF(B113="North",1,0)</f>
        <v>1</v>
      </c>
      <c r="F113" s="1" t="s">
        <v>28</v>
      </c>
      <c r="G113" s="1">
        <f>IF(F113="Residential",1,0)</f>
        <v>0</v>
      </c>
      <c r="H113" s="1">
        <f>IF(F113="High Street",1,0)</f>
        <v>0</v>
      </c>
      <c r="I113" s="1">
        <f>IF(F113="Mall",1,0)</f>
        <v>1</v>
      </c>
    </row>
    <row r="114" spans="1:9">
      <c r="A114" s="1" t="s">
        <v>74</v>
      </c>
      <c r="B114" s="1" t="s">
        <v>15</v>
      </c>
      <c r="C114" s="1">
        <f>IF(B114="East",1,0)</f>
        <v>1</v>
      </c>
      <c r="D114" s="1">
        <f>IF(B114="West",1,0)</f>
        <v>0</v>
      </c>
      <c r="E114" s="1">
        <f>IF(B114="North",1,0)</f>
        <v>0</v>
      </c>
      <c r="F114" s="1" t="s">
        <v>18</v>
      </c>
      <c r="G114" s="1">
        <f>IF(F114="Residential",1,0)</f>
        <v>0</v>
      </c>
      <c r="H114" s="1">
        <f>IF(F114="High Street",1,0)</f>
        <v>1</v>
      </c>
      <c r="I114" s="1">
        <f>IF(F114="Mall",1,0)</f>
        <v>0</v>
      </c>
    </row>
    <row r="115" spans="1:9">
      <c r="A115" s="1" t="s">
        <v>99</v>
      </c>
      <c r="B115" s="1" t="s">
        <v>24</v>
      </c>
      <c r="C115" s="1">
        <f>IF(B115="East",1,0)</f>
        <v>0</v>
      </c>
      <c r="D115" s="1">
        <f>IF(B115="West",1,0)</f>
        <v>0</v>
      </c>
      <c r="E115" s="1">
        <f>IF(B115="North",1,0)</f>
        <v>0</v>
      </c>
      <c r="F115" s="1" t="s">
        <v>18</v>
      </c>
      <c r="G115" s="1">
        <f>IF(F115="Residential",1,0)</f>
        <v>0</v>
      </c>
      <c r="H115" s="1">
        <f>IF(F115="High Street",1,0)</f>
        <v>1</v>
      </c>
      <c r="I115" s="1">
        <f>IF(F115="Mall",1,0)</f>
        <v>0</v>
      </c>
    </row>
    <row r="116" spans="1:9">
      <c r="A116" s="1" t="s">
        <v>90</v>
      </c>
      <c r="B116" s="1" t="s">
        <v>27</v>
      </c>
      <c r="C116" s="1">
        <f>IF(B116="East",1,0)</f>
        <v>0</v>
      </c>
      <c r="D116" s="1">
        <f>IF(B116="West",1,0)</f>
        <v>1</v>
      </c>
      <c r="E116" s="1">
        <f>IF(B116="North",1,0)</f>
        <v>0</v>
      </c>
      <c r="F116" s="1" t="s">
        <v>18</v>
      </c>
      <c r="G116" s="1">
        <f>IF(F116="Residential",1,0)</f>
        <v>0</v>
      </c>
      <c r="H116" s="1">
        <f>IF(F116="High Street",1,0)</f>
        <v>1</v>
      </c>
      <c r="I116" s="1">
        <f>IF(F116="Mall",1,0)</f>
        <v>0</v>
      </c>
    </row>
    <row r="117" spans="1:9">
      <c r="A117" s="1" t="s">
        <v>97</v>
      </c>
      <c r="B117" s="1" t="s">
        <v>20</v>
      </c>
      <c r="C117" s="1">
        <f>IF(B117="East",1,0)</f>
        <v>0</v>
      </c>
      <c r="D117" s="1">
        <f>IF(B117="West",1,0)</f>
        <v>0</v>
      </c>
      <c r="E117" s="1">
        <f>IF(B117="North",1,0)</f>
        <v>1</v>
      </c>
      <c r="F117" s="1" t="s">
        <v>28</v>
      </c>
      <c r="G117" s="1">
        <f>IF(F117="Residential",1,0)</f>
        <v>0</v>
      </c>
      <c r="H117" s="1">
        <f>IF(F117="High Street",1,0)</f>
        <v>0</v>
      </c>
      <c r="I117" s="1">
        <f>IF(F117="Mall",1,0)</f>
        <v>1</v>
      </c>
    </row>
    <row r="118" spans="1:9">
      <c r="A118" s="1" t="s">
        <v>77</v>
      </c>
      <c r="B118" s="1" t="s">
        <v>15</v>
      </c>
      <c r="C118" s="1">
        <f>IF(B118="East",1,0)</f>
        <v>1</v>
      </c>
      <c r="D118" s="1">
        <f>IF(B118="West",1,0)</f>
        <v>0</v>
      </c>
      <c r="E118" s="1">
        <f>IF(B118="North",1,0)</f>
        <v>0</v>
      </c>
      <c r="F118" s="1" t="s">
        <v>18</v>
      </c>
      <c r="G118" s="1">
        <f>IF(F118="Residential",1,0)</f>
        <v>0</v>
      </c>
      <c r="H118" s="1">
        <f>IF(F118="High Street",1,0)</f>
        <v>1</v>
      </c>
      <c r="I118" s="1">
        <f>IF(F118="Mall",1,0)</f>
        <v>0</v>
      </c>
    </row>
    <row r="119" spans="1:9">
      <c r="A119" s="1" t="s">
        <v>37</v>
      </c>
      <c r="B119" s="1" t="s">
        <v>24</v>
      </c>
      <c r="C119" s="1">
        <f>IF(B119="East",1,0)</f>
        <v>0</v>
      </c>
      <c r="D119" s="1">
        <f>IF(B119="West",1,0)</f>
        <v>0</v>
      </c>
      <c r="E119" s="1">
        <f>IF(B119="North",1,0)</f>
        <v>0</v>
      </c>
      <c r="F119" s="1" t="s">
        <v>18</v>
      </c>
      <c r="G119" s="1">
        <f>IF(F119="Residential",1,0)</f>
        <v>0</v>
      </c>
      <c r="H119" s="1">
        <f>IF(F119="High Street",1,0)</f>
        <v>1</v>
      </c>
      <c r="I119" s="1">
        <f>IF(F119="Mall",1,0)</f>
        <v>0</v>
      </c>
    </row>
    <row r="120" spans="1:9">
      <c r="A120" s="1" t="s">
        <v>26</v>
      </c>
      <c r="B120" s="1" t="s">
        <v>27</v>
      </c>
      <c r="C120" s="1">
        <f>IF(B120="East",1,0)</f>
        <v>0</v>
      </c>
      <c r="D120" s="1">
        <f>IF(B120="West",1,0)</f>
        <v>1</v>
      </c>
      <c r="E120" s="1">
        <f>IF(B120="North",1,0)</f>
        <v>0</v>
      </c>
      <c r="F120" s="1" t="s">
        <v>28</v>
      </c>
      <c r="G120" s="1">
        <f>IF(F120="Residential",1,0)</f>
        <v>0</v>
      </c>
      <c r="H120" s="1">
        <f>IF(F120="High Street",1,0)</f>
        <v>0</v>
      </c>
      <c r="I120" s="1">
        <f>IF(F120="Mall",1,0)</f>
        <v>1</v>
      </c>
    </row>
    <row r="121" spans="1:9">
      <c r="A121" s="1" t="s">
        <v>84</v>
      </c>
      <c r="B121" s="1" t="s">
        <v>20</v>
      </c>
      <c r="C121" s="1">
        <f>IF(B121="East",1,0)</f>
        <v>0</v>
      </c>
      <c r="D121" s="1">
        <f>IF(B121="West",1,0)</f>
        <v>0</v>
      </c>
      <c r="E121" s="1">
        <f>IF(B121="North",1,0)</f>
        <v>1</v>
      </c>
      <c r="F121" s="1" t="s">
        <v>18</v>
      </c>
      <c r="G121" s="1">
        <f>IF(F121="Residential",1,0)</f>
        <v>0</v>
      </c>
      <c r="H121" s="1">
        <f>IF(F121="High Street",1,0)</f>
        <v>1</v>
      </c>
      <c r="I121" s="1">
        <f>IF(F121="Mall",1,0)</f>
        <v>0</v>
      </c>
    </row>
    <row r="122" spans="1:9">
      <c r="A122" s="1" t="s">
        <v>99</v>
      </c>
      <c r="B122" s="1" t="s">
        <v>24</v>
      </c>
      <c r="C122" s="1">
        <f>IF(B122="East",1,0)</f>
        <v>0</v>
      </c>
      <c r="D122" s="1">
        <f>IF(B122="West",1,0)</f>
        <v>0</v>
      </c>
      <c r="E122" s="1">
        <f>IF(B122="North",1,0)</f>
        <v>0</v>
      </c>
      <c r="F122" s="1" t="s">
        <v>18</v>
      </c>
      <c r="G122" s="1">
        <f>IF(F122="Residential",1,0)</f>
        <v>0</v>
      </c>
      <c r="H122" s="1">
        <f>IF(F122="High Street",1,0)</f>
        <v>1</v>
      </c>
      <c r="I122" s="1">
        <f>IF(F122="Mall",1,0)</f>
        <v>0</v>
      </c>
    </row>
    <row r="123" spans="1:9">
      <c r="A123" s="1" t="s">
        <v>29</v>
      </c>
      <c r="B123" s="1" t="s">
        <v>15</v>
      </c>
      <c r="C123" s="1">
        <f>IF(B123="East",1,0)</f>
        <v>1</v>
      </c>
      <c r="D123" s="1">
        <f>IF(B123="West",1,0)</f>
        <v>0</v>
      </c>
      <c r="E123" s="1">
        <f>IF(B123="North",1,0)</f>
        <v>0</v>
      </c>
      <c r="F123" s="1" t="s">
        <v>16</v>
      </c>
      <c r="G123" s="1">
        <f>IF(F123="Residential",1,0)</f>
        <v>1</v>
      </c>
      <c r="H123" s="1">
        <f>IF(F123="High Street",1,0)</f>
        <v>0</v>
      </c>
      <c r="I123" s="1">
        <f>IF(F123="Mall",1,0)</f>
        <v>0</v>
      </c>
    </row>
    <row r="124" spans="1:9">
      <c r="A124" s="1" t="s">
        <v>76</v>
      </c>
      <c r="B124" s="1" t="s">
        <v>20</v>
      </c>
      <c r="C124" s="1">
        <f>IF(B124="East",1,0)</f>
        <v>0</v>
      </c>
      <c r="D124" s="1">
        <f>IF(B124="West",1,0)</f>
        <v>0</v>
      </c>
      <c r="E124" s="1">
        <f>IF(B124="North",1,0)</f>
        <v>1</v>
      </c>
      <c r="F124" s="1" t="s">
        <v>21</v>
      </c>
      <c r="G124" s="1">
        <f>IF(F124="Residential",1,0)</f>
        <v>0</v>
      </c>
      <c r="H124" s="1">
        <f>IF(F124="High Street",1,0)</f>
        <v>0</v>
      </c>
      <c r="I124" s="1">
        <f>IF(F124="Mall",1,0)</f>
        <v>0</v>
      </c>
    </row>
    <row r="125" spans="1:9">
      <c r="A125" s="1" t="s">
        <v>97</v>
      </c>
      <c r="B125" s="1" t="s">
        <v>20</v>
      </c>
      <c r="C125" s="1">
        <f>IF(B125="East",1,0)</f>
        <v>0</v>
      </c>
      <c r="D125" s="1">
        <f>IF(B125="West",1,0)</f>
        <v>0</v>
      </c>
      <c r="E125" s="1">
        <f>IF(B125="North",1,0)</f>
        <v>1</v>
      </c>
      <c r="F125" s="1" t="s">
        <v>28</v>
      </c>
      <c r="G125" s="1">
        <f>IF(F125="Residential",1,0)</f>
        <v>0</v>
      </c>
      <c r="H125" s="1">
        <f>IF(F125="High Street",1,0)</f>
        <v>0</v>
      </c>
      <c r="I125" s="1">
        <f>IF(F125="Mall",1,0)</f>
        <v>1</v>
      </c>
    </row>
    <row r="126" spans="1:9">
      <c r="A126" s="1" t="s">
        <v>46</v>
      </c>
      <c r="B126" s="1" t="s">
        <v>27</v>
      </c>
      <c r="C126" s="1">
        <f>IF(B126="East",1,0)</f>
        <v>0</v>
      </c>
      <c r="D126" s="1">
        <f>IF(B126="West",1,0)</f>
        <v>1</v>
      </c>
      <c r="E126" s="1">
        <f>IF(B126="North",1,0)</f>
        <v>0</v>
      </c>
      <c r="F126" s="1" t="s">
        <v>28</v>
      </c>
      <c r="G126" s="1">
        <f>IF(F126="Residential",1,0)</f>
        <v>0</v>
      </c>
      <c r="H126" s="1">
        <f>IF(F126="High Street",1,0)</f>
        <v>0</v>
      </c>
      <c r="I126" s="1">
        <f>IF(F126="Mall",1,0)</f>
        <v>1</v>
      </c>
    </row>
    <row r="127" spans="1:9">
      <c r="A127" s="1" t="s">
        <v>85</v>
      </c>
      <c r="B127" s="1" t="s">
        <v>24</v>
      </c>
      <c r="C127" s="1">
        <f>IF(B127="East",1,0)</f>
        <v>0</v>
      </c>
      <c r="D127" s="1">
        <f>IF(B127="West",1,0)</f>
        <v>0</v>
      </c>
      <c r="E127" s="1">
        <f>IF(B127="North",1,0)</f>
        <v>0</v>
      </c>
      <c r="F127" s="1" t="s">
        <v>21</v>
      </c>
      <c r="G127" s="1">
        <f>IF(F127="Residential",1,0)</f>
        <v>0</v>
      </c>
      <c r="H127" s="1">
        <f>IF(F127="High Street",1,0)</f>
        <v>0</v>
      </c>
      <c r="I127" s="1">
        <f>IF(F127="Mall",1,0)</f>
        <v>0</v>
      </c>
    </row>
    <row r="128" spans="1:9">
      <c r="A128" s="1" t="s">
        <v>41</v>
      </c>
      <c r="B128" s="1" t="s">
        <v>24</v>
      </c>
      <c r="C128" s="1">
        <f>IF(B128="East",1,0)</f>
        <v>0</v>
      </c>
      <c r="D128" s="1">
        <f>IF(B128="West",1,0)</f>
        <v>0</v>
      </c>
      <c r="E128" s="1">
        <f>IF(B128="North",1,0)</f>
        <v>0</v>
      </c>
      <c r="F128" s="1" t="s">
        <v>18</v>
      </c>
      <c r="G128" s="1">
        <f>IF(F128="Residential",1,0)</f>
        <v>0</v>
      </c>
      <c r="H128" s="1">
        <f>IF(F128="High Street",1,0)</f>
        <v>1</v>
      </c>
      <c r="I128" s="1">
        <f>IF(F128="Mall",1,0)</f>
        <v>0</v>
      </c>
    </row>
    <row r="129" spans="1:9">
      <c r="A129" s="1" t="s">
        <v>77</v>
      </c>
      <c r="B129" s="1" t="s">
        <v>15</v>
      </c>
      <c r="C129" s="1">
        <f>IF(B129="East",1,0)</f>
        <v>1</v>
      </c>
      <c r="D129" s="1">
        <f>IF(B129="West",1,0)</f>
        <v>0</v>
      </c>
      <c r="E129" s="1">
        <f>IF(B129="North",1,0)</f>
        <v>0</v>
      </c>
      <c r="F129" s="1" t="s">
        <v>18</v>
      </c>
      <c r="G129" s="1">
        <f>IF(F129="Residential",1,0)</f>
        <v>0</v>
      </c>
      <c r="H129" s="1">
        <f>IF(F129="High Street",1,0)</f>
        <v>1</v>
      </c>
      <c r="I129" s="1">
        <f>IF(F129="Mall",1,0)</f>
        <v>0</v>
      </c>
    </row>
    <row r="130" spans="1:9">
      <c r="A130" s="1" t="s">
        <v>46</v>
      </c>
      <c r="B130" s="1" t="s">
        <v>27</v>
      </c>
      <c r="C130" s="1">
        <f>IF(B130="East",1,0)</f>
        <v>0</v>
      </c>
      <c r="D130" s="1">
        <f>IF(B130="West",1,0)</f>
        <v>1</v>
      </c>
      <c r="E130" s="1">
        <f>IF(B130="North",1,0)</f>
        <v>0</v>
      </c>
      <c r="F130" s="1" t="s">
        <v>28</v>
      </c>
      <c r="G130" s="1">
        <f>IF(F130="Residential",1,0)</f>
        <v>0</v>
      </c>
      <c r="H130" s="1">
        <f>IF(F130="High Street",1,0)</f>
        <v>0</v>
      </c>
      <c r="I130" s="1">
        <f>IF(F130="Mall",1,0)</f>
        <v>1</v>
      </c>
    </row>
    <row r="131" spans="1:9">
      <c r="A131" s="1" t="s">
        <v>53</v>
      </c>
      <c r="B131" s="1" t="s">
        <v>24</v>
      </c>
      <c r="C131" s="1">
        <f>IF(B131="East",1,0)</f>
        <v>0</v>
      </c>
      <c r="D131" s="1">
        <f>IF(B131="West",1,0)</f>
        <v>0</v>
      </c>
      <c r="E131" s="1">
        <f>IF(B131="North",1,0)</f>
        <v>0</v>
      </c>
      <c r="F131" s="1" t="s">
        <v>18</v>
      </c>
      <c r="G131" s="1">
        <f>IF(F131="Residential",1,0)</f>
        <v>0</v>
      </c>
      <c r="H131" s="1">
        <f>IF(F131="High Street",1,0)</f>
        <v>1</v>
      </c>
      <c r="I131" s="1">
        <f>IF(F131="Mall",1,0)</f>
        <v>0</v>
      </c>
    </row>
    <row r="132" spans="1:9">
      <c r="A132" s="1" t="s">
        <v>54</v>
      </c>
      <c r="B132" s="1" t="s">
        <v>15</v>
      </c>
      <c r="C132" s="1">
        <f>IF(B132="East",1,0)</f>
        <v>1</v>
      </c>
      <c r="D132" s="1">
        <f>IF(B132="West",1,0)</f>
        <v>0</v>
      </c>
      <c r="E132" s="1">
        <f>IF(B132="North",1,0)</f>
        <v>0</v>
      </c>
      <c r="F132" s="1" t="s">
        <v>18</v>
      </c>
      <c r="G132" s="1">
        <f>IF(F132="Residential",1,0)</f>
        <v>0</v>
      </c>
      <c r="H132" s="1">
        <f>IF(F132="High Street",1,0)</f>
        <v>1</v>
      </c>
      <c r="I132" s="1">
        <f>IF(F132="Mall",1,0)</f>
        <v>0</v>
      </c>
    </row>
    <row r="133" spans="1:9">
      <c r="A133" s="1" t="s">
        <v>23</v>
      </c>
      <c r="B133" s="1" t="s">
        <v>24</v>
      </c>
      <c r="C133" s="1">
        <f>IF(B133="East",1,0)</f>
        <v>0</v>
      </c>
      <c r="D133" s="1">
        <f>IF(B133="West",1,0)</f>
        <v>0</v>
      </c>
      <c r="E133" s="1">
        <f>IF(B133="North",1,0)</f>
        <v>0</v>
      </c>
      <c r="F133" s="1" t="s">
        <v>16</v>
      </c>
      <c r="G133" s="1">
        <f>IF(F133="Residential",1,0)</f>
        <v>1</v>
      </c>
      <c r="H133" s="1">
        <f>IF(F133="High Street",1,0)</f>
        <v>0</v>
      </c>
      <c r="I133" s="1">
        <f>IF(F133="Mall",1,0)</f>
        <v>0</v>
      </c>
    </row>
    <row r="134" spans="1:9">
      <c r="A134" s="1" t="s">
        <v>82</v>
      </c>
      <c r="B134" s="1" t="s">
        <v>24</v>
      </c>
      <c r="C134" s="1">
        <f>IF(B134="East",1,0)</f>
        <v>0</v>
      </c>
      <c r="D134" s="1">
        <f>IF(B134="West",1,0)</f>
        <v>0</v>
      </c>
      <c r="E134" s="1">
        <f>IF(B134="North",1,0)</f>
        <v>0</v>
      </c>
      <c r="F134" s="1" t="s">
        <v>21</v>
      </c>
      <c r="G134" s="1">
        <f>IF(F134="Residential",1,0)</f>
        <v>0</v>
      </c>
      <c r="H134" s="1">
        <f>IF(F134="High Street",1,0)</f>
        <v>0</v>
      </c>
      <c r="I134" s="1">
        <f>IF(F134="Mall",1,0)</f>
        <v>0</v>
      </c>
    </row>
    <row r="135" spans="1:9">
      <c r="A135" s="1" t="s">
        <v>31</v>
      </c>
      <c r="B135" s="1" t="s">
        <v>20</v>
      </c>
      <c r="C135" s="1">
        <f>IF(B135="East",1,0)</f>
        <v>0</v>
      </c>
      <c r="D135" s="1">
        <f>IF(B135="West",1,0)</f>
        <v>0</v>
      </c>
      <c r="E135" s="1">
        <f>IF(B135="North",1,0)</f>
        <v>1</v>
      </c>
      <c r="F135" s="1" t="s">
        <v>28</v>
      </c>
      <c r="G135" s="1">
        <f>IF(F135="Residential",1,0)</f>
        <v>0</v>
      </c>
      <c r="H135" s="1">
        <f>IF(F135="High Street",1,0)</f>
        <v>0</v>
      </c>
      <c r="I135" s="1">
        <f>IF(F135="Mall",1,0)</f>
        <v>1</v>
      </c>
    </row>
    <row r="136" spans="1:9">
      <c r="A136" s="1" t="s">
        <v>62</v>
      </c>
      <c r="B136" s="1" t="s">
        <v>24</v>
      </c>
      <c r="C136" s="1">
        <f>IF(B136="East",1,0)</f>
        <v>0</v>
      </c>
      <c r="D136" s="1">
        <f>IF(B136="West",1,0)</f>
        <v>0</v>
      </c>
      <c r="E136" s="1">
        <f>IF(B136="North",1,0)</f>
        <v>0</v>
      </c>
      <c r="F136" s="1" t="s">
        <v>18</v>
      </c>
      <c r="G136" s="1">
        <f>IF(F136="Residential",1,0)</f>
        <v>0</v>
      </c>
      <c r="H136" s="1">
        <f>IF(F136="High Street",1,0)</f>
        <v>1</v>
      </c>
      <c r="I136" s="1">
        <f>IF(F136="Mall",1,0)</f>
        <v>0</v>
      </c>
    </row>
    <row r="137" spans="1:9">
      <c r="A137" s="1" t="s">
        <v>60</v>
      </c>
      <c r="B137" s="1" t="s">
        <v>15</v>
      </c>
      <c r="C137" s="1">
        <f>IF(B137="East",1,0)</f>
        <v>1</v>
      </c>
      <c r="D137" s="1">
        <f>IF(B137="West",1,0)</f>
        <v>0</v>
      </c>
      <c r="E137" s="1">
        <f>IF(B137="North",1,0)</f>
        <v>0</v>
      </c>
      <c r="F137" s="1" t="s">
        <v>18</v>
      </c>
      <c r="G137" s="1">
        <f>IF(F137="Residential",1,0)</f>
        <v>0</v>
      </c>
      <c r="H137" s="1">
        <f>IF(F137="High Street",1,0)</f>
        <v>1</v>
      </c>
      <c r="I137" s="1">
        <f>IF(F137="Mall",1,0)</f>
        <v>0</v>
      </c>
    </row>
    <row r="138" spans="1:9">
      <c r="A138" s="1" t="s">
        <v>55</v>
      </c>
      <c r="B138" s="1" t="s">
        <v>20</v>
      </c>
      <c r="C138" s="1">
        <f>IF(B138="East",1,0)</f>
        <v>0</v>
      </c>
      <c r="D138" s="1">
        <f>IF(B138="West",1,0)</f>
        <v>0</v>
      </c>
      <c r="E138" s="1">
        <f>IF(B138="North",1,0)</f>
        <v>1</v>
      </c>
      <c r="F138" s="1" t="s">
        <v>18</v>
      </c>
      <c r="G138" s="1">
        <f>IF(F138="Residential",1,0)</f>
        <v>0</v>
      </c>
      <c r="H138" s="1">
        <f>IF(F138="High Street",1,0)</f>
        <v>1</v>
      </c>
      <c r="I138" s="1">
        <f>IF(F138="Mall",1,0)</f>
        <v>0</v>
      </c>
    </row>
    <row r="139" spans="1:9">
      <c r="A139" s="1" t="s">
        <v>32</v>
      </c>
      <c r="B139" s="1" t="s">
        <v>15</v>
      </c>
      <c r="C139" s="1">
        <f>IF(B139="East",1,0)</f>
        <v>1</v>
      </c>
      <c r="D139" s="1">
        <f>IF(B139="West",1,0)</f>
        <v>0</v>
      </c>
      <c r="E139" s="1">
        <f>IF(B139="North",1,0)</f>
        <v>0</v>
      </c>
      <c r="F139" s="1" t="s">
        <v>28</v>
      </c>
      <c r="G139" s="1">
        <f>IF(F139="Residential",1,0)</f>
        <v>0</v>
      </c>
      <c r="H139" s="1">
        <f>IF(F139="High Street",1,0)</f>
        <v>0</v>
      </c>
      <c r="I139" s="1">
        <f>IF(F139="Mall",1,0)</f>
        <v>1</v>
      </c>
    </row>
    <row r="140" spans="1:9">
      <c r="A140" s="1" t="s">
        <v>78</v>
      </c>
      <c r="B140" s="1" t="s">
        <v>15</v>
      </c>
      <c r="C140" s="1">
        <f>IF(B140="East",1,0)</f>
        <v>1</v>
      </c>
      <c r="D140" s="1">
        <f>IF(B140="West",1,0)</f>
        <v>0</v>
      </c>
      <c r="E140" s="1">
        <f>IF(B140="North",1,0)</f>
        <v>0</v>
      </c>
      <c r="F140" s="1" t="s">
        <v>28</v>
      </c>
      <c r="G140" s="1">
        <f>IF(F140="Residential",1,0)</f>
        <v>0</v>
      </c>
      <c r="H140" s="1">
        <f>IF(F140="High Street",1,0)</f>
        <v>0</v>
      </c>
      <c r="I140" s="1">
        <f>IF(F140="Mall",1,0)</f>
        <v>1</v>
      </c>
    </row>
    <row r="141" spans="1:9">
      <c r="A141" s="1" t="s">
        <v>23</v>
      </c>
      <c r="B141" s="1" t="s">
        <v>24</v>
      </c>
      <c r="C141" s="1">
        <f>IF(B141="East",1,0)</f>
        <v>0</v>
      </c>
      <c r="D141" s="1">
        <f>IF(B141="West",1,0)</f>
        <v>0</v>
      </c>
      <c r="E141" s="1">
        <f>IF(B141="North",1,0)</f>
        <v>0</v>
      </c>
      <c r="F141" s="1" t="s">
        <v>16</v>
      </c>
      <c r="G141" s="1">
        <f>IF(F141="Residential",1,0)</f>
        <v>1</v>
      </c>
      <c r="H141" s="1">
        <f>IF(F141="High Street",1,0)</f>
        <v>0</v>
      </c>
      <c r="I141" s="1">
        <f>IF(F141="Mall",1,0)</f>
        <v>0</v>
      </c>
    </row>
    <row r="142" spans="1:9">
      <c r="A142" s="1" t="s">
        <v>84</v>
      </c>
      <c r="B142" s="1" t="s">
        <v>20</v>
      </c>
      <c r="C142" s="1">
        <f>IF(B142="East",1,0)</f>
        <v>0</v>
      </c>
      <c r="D142" s="1">
        <f>IF(B142="West",1,0)</f>
        <v>0</v>
      </c>
      <c r="E142" s="1">
        <f>IF(B142="North",1,0)</f>
        <v>1</v>
      </c>
      <c r="F142" s="1" t="s">
        <v>18</v>
      </c>
      <c r="G142" s="1">
        <f>IF(F142="Residential",1,0)</f>
        <v>0</v>
      </c>
      <c r="H142" s="1">
        <f>IF(F142="High Street",1,0)</f>
        <v>1</v>
      </c>
      <c r="I142" s="1">
        <f>IF(F142="Mall",1,0)</f>
        <v>0</v>
      </c>
    </row>
    <row r="143" spans="1:9">
      <c r="A143" s="1" t="s">
        <v>96</v>
      </c>
      <c r="B143" s="1" t="s">
        <v>27</v>
      </c>
      <c r="C143" s="1">
        <f>IF(B143="East",1,0)</f>
        <v>0</v>
      </c>
      <c r="D143" s="1">
        <f>IF(B143="West",1,0)</f>
        <v>1</v>
      </c>
      <c r="E143" s="1">
        <f>IF(B143="North",1,0)</f>
        <v>0</v>
      </c>
      <c r="F143" s="1" t="s">
        <v>18</v>
      </c>
      <c r="G143" s="1">
        <f>IF(F143="Residential",1,0)</f>
        <v>0</v>
      </c>
      <c r="H143" s="1">
        <f>IF(F143="High Street",1,0)</f>
        <v>1</v>
      </c>
      <c r="I143" s="1">
        <f>IF(F143="Mall",1,0)</f>
        <v>0</v>
      </c>
    </row>
    <row r="144" spans="1:9">
      <c r="A144" s="1" t="s">
        <v>94</v>
      </c>
      <c r="B144" s="1" t="s">
        <v>15</v>
      </c>
      <c r="C144" s="1">
        <f>IF(B144="East",1,0)</f>
        <v>1</v>
      </c>
      <c r="D144" s="1">
        <f>IF(B144="West",1,0)</f>
        <v>0</v>
      </c>
      <c r="E144" s="1">
        <f>IF(B144="North",1,0)</f>
        <v>0</v>
      </c>
      <c r="F144" s="1" t="s">
        <v>16</v>
      </c>
      <c r="G144" s="1">
        <f>IF(F144="Residential",1,0)</f>
        <v>1</v>
      </c>
      <c r="H144" s="1">
        <f>IF(F144="High Street",1,0)</f>
        <v>0</v>
      </c>
      <c r="I144" s="1">
        <f>IF(F144="Mall",1,0)</f>
        <v>0</v>
      </c>
    </row>
    <row r="145" spans="1:9">
      <c r="A145" s="1" t="s">
        <v>64</v>
      </c>
      <c r="B145" s="1" t="s">
        <v>15</v>
      </c>
      <c r="C145" s="1">
        <f>IF(B145="East",1,0)</f>
        <v>1</v>
      </c>
      <c r="D145" s="1">
        <f>IF(B145="West",1,0)</f>
        <v>0</v>
      </c>
      <c r="E145" s="1">
        <f>IF(B145="North",1,0)</f>
        <v>0</v>
      </c>
      <c r="F145" s="1" t="s">
        <v>16</v>
      </c>
      <c r="G145" s="1">
        <f>IF(F145="Residential",1,0)</f>
        <v>1</v>
      </c>
      <c r="H145" s="1">
        <f>IF(F145="High Street",1,0)</f>
        <v>0</v>
      </c>
      <c r="I145" s="1">
        <f>IF(F145="Mall",1,0)</f>
        <v>0</v>
      </c>
    </row>
    <row r="146" spans="1:9">
      <c r="A146" s="1" t="s">
        <v>48</v>
      </c>
      <c r="B146" s="1" t="s">
        <v>27</v>
      </c>
      <c r="C146" s="1">
        <f>IF(B146="East",1,0)</f>
        <v>0</v>
      </c>
      <c r="D146" s="1">
        <f>IF(B146="West",1,0)</f>
        <v>1</v>
      </c>
      <c r="E146" s="1">
        <f>IF(B146="North",1,0)</f>
        <v>0</v>
      </c>
      <c r="F146" s="1" t="s">
        <v>18</v>
      </c>
      <c r="G146" s="1">
        <f>IF(F146="Residential",1,0)</f>
        <v>0</v>
      </c>
      <c r="H146" s="1">
        <f>IF(F146="High Street",1,0)</f>
        <v>1</v>
      </c>
      <c r="I146" s="1">
        <f>IF(F146="Mall",1,0)</f>
        <v>0</v>
      </c>
    </row>
    <row r="147" spans="1:9">
      <c r="A147" s="1" t="s">
        <v>49</v>
      </c>
      <c r="B147" s="1" t="s">
        <v>15</v>
      </c>
      <c r="C147" s="1">
        <f>IF(B147="East",1,0)</f>
        <v>1</v>
      </c>
      <c r="D147" s="1">
        <f>IF(B147="West",1,0)</f>
        <v>0</v>
      </c>
      <c r="E147" s="1">
        <f>IF(B147="North",1,0)</f>
        <v>0</v>
      </c>
      <c r="F147" s="1" t="s">
        <v>28</v>
      </c>
      <c r="G147" s="1">
        <f>IF(F147="Residential",1,0)</f>
        <v>0</v>
      </c>
      <c r="H147" s="1">
        <f>IF(F147="High Street",1,0)</f>
        <v>0</v>
      </c>
      <c r="I147" s="1">
        <f>IF(F147="Mall",1,0)</f>
        <v>1</v>
      </c>
    </row>
    <row r="148" spans="1:9">
      <c r="A148" s="1" t="s">
        <v>22</v>
      </c>
      <c r="B148" s="1" t="s">
        <v>15</v>
      </c>
      <c r="C148" s="1">
        <f>IF(B148="East",1,0)</f>
        <v>1</v>
      </c>
      <c r="D148" s="1">
        <f>IF(B148="West",1,0)</f>
        <v>0</v>
      </c>
      <c r="E148" s="1">
        <f>IF(B148="North",1,0)</f>
        <v>0</v>
      </c>
      <c r="F148" s="1" t="s">
        <v>16</v>
      </c>
      <c r="G148" s="1">
        <f>IF(F148="Residential",1,0)</f>
        <v>1</v>
      </c>
      <c r="H148" s="1">
        <f>IF(F148="High Street",1,0)</f>
        <v>0</v>
      </c>
      <c r="I148" s="1">
        <f>IF(F148="Mall",1,0)</f>
        <v>0</v>
      </c>
    </row>
    <row r="149" spans="1:9">
      <c r="A149" s="1" t="s">
        <v>45</v>
      </c>
      <c r="B149" s="1" t="s">
        <v>27</v>
      </c>
      <c r="C149" s="1">
        <f>IF(B149="East",1,0)</f>
        <v>0</v>
      </c>
      <c r="D149" s="1">
        <f>IF(B149="West",1,0)</f>
        <v>1</v>
      </c>
      <c r="E149" s="1">
        <f>IF(B149="North",1,0)</f>
        <v>0</v>
      </c>
      <c r="F149" s="1" t="s">
        <v>16</v>
      </c>
      <c r="G149" s="1">
        <f>IF(F149="Residential",1,0)</f>
        <v>1</v>
      </c>
      <c r="H149" s="1">
        <f>IF(F149="High Street",1,0)</f>
        <v>0</v>
      </c>
      <c r="I149" s="1">
        <f>IF(F149="Mall",1,0)</f>
        <v>0</v>
      </c>
    </row>
    <row r="150" spans="1:9">
      <c r="A150" s="1" t="s">
        <v>43</v>
      </c>
      <c r="B150" s="1" t="s">
        <v>27</v>
      </c>
      <c r="C150" s="1">
        <f>IF(B150="East",1,0)</f>
        <v>0</v>
      </c>
      <c r="D150" s="1">
        <f>IF(B150="West",1,0)</f>
        <v>1</v>
      </c>
      <c r="E150" s="1">
        <f>IF(B150="North",1,0)</f>
        <v>0</v>
      </c>
      <c r="F150" s="1" t="s">
        <v>18</v>
      </c>
      <c r="G150" s="1">
        <f>IF(F150="Residential",1,0)</f>
        <v>0</v>
      </c>
      <c r="H150" s="1">
        <f>IF(F150="High Street",1,0)</f>
        <v>1</v>
      </c>
      <c r="I150" s="1">
        <f>IF(F150="Mall",1,0)</f>
        <v>0</v>
      </c>
    </row>
    <row r="151" spans="1:9">
      <c r="A151" s="1" t="s">
        <v>91</v>
      </c>
      <c r="B151" s="1" t="s">
        <v>24</v>
      </c>
      <c r="C151" s="1">
        <f>IF(B151="East",1,0)</f>
        <v>0</v>
      </c>
      <c r="D151" s="1">
        <f>IF(B151="West",1,0)</f>
        <v>0</v>
      </c>
      <c r="E151" s="1">
        <f>IF(B151="North",1,0)</f>
        <v>0</v>
      </c>
      <c r="F151" s="1" t="s">
        <v>16</v>
      </c>
      <c r="G151" s="1">
        <f>IF(F151="Residential",1,0)</f>
        <v>1</v>
      </c>
      <c r="H151" s="1">
        <f>IF(F151="High Street",1,0)</f>
        <v>0</v>
      </c>
      <c r="I151" s="1">
        <f>IF(F151="Mall",1,0)</f>
        <v>0</v>
      </c>
    </row>
    <row r="152" spans="1:9">
      <c r="A152" s="1" t="s">
        <v>62</v>
      </c>
      <c r="B152" s="1" t="s">
        <v>24</v>
      </c>
      <c r="C152" s="1">
        <f>IF(B152="East",1,0)</f>
        <v>0</v>
      </c>
      <c r="D152" s="1">
        <f>IF(B152="West",1,0)</f>
        <v>0</v>
      </c>
      <c r="E152" s="1">
        <f>IF(B152="North",1,0)</f>
        <v>0</v>
      </c>
      <c r="F152" s="1" t="s">
        <v>18</v>
      </c>
      <c r="G152" s="1">
        <f>IF(F152="Residential",1,0)</f>
        <v>0</v>
      </c>
      <c r="H152" s="1">
        <f>IF(F152="High Street",1,0)</f>
        <v>1</v>
      </c>
      <c r="I152" s="1">
        <f>IF(F152="Mall",1,0)</f>
        <v>0</v>
      </c>
    </row>
    <row r="153" spans="1:9">
      <c r="A153" s="1" t="s">
        <v>82</v>
      </c>
      <c r="B153" s="1" t="s">
        <v>24</v>
      </c>
      <c r="C153" s="1">
        <f>IF(B153="East",1,0)</f>
        <v>0</v>
      </c>
      <c r="D153" s="1">
        <f>IF(B153="West",1,0)</f>
        <v>0</v>
      </c>
      <c r="E153" s="1">
        <f>IF(B153="North",1,0)</f>
        <v>0</v>
      </c>
      <c r="F153" s="1" t="s">
        <v>21</v>
      </c>
      <c r="G153" s="1">
        <f>IF(F153="Residential",1,0)</f>
        <v>0</v>
      </c>
      <c r="H153" s="1">
        <f>IF(F153="High Street",1,0)</f>
        <v>0</v>
      </c>
      <c r="I153" s="1">
        <f>IF(F153="Mall",1,0)</f>
        <v>0</v>
      </c>
    </row>
    <row r="154" spans="1:9">
      <c r="A154" s="1" t="s">
        <v>39</v>
      </c>
      <c r="B154" s="1" t="s">
        <v>15</v>
      </c>
      <c r="C154" s="1">
        <f>IF(B154="East",1,0)</f>
        <v>1</v>
      </c>
      <c r="D154" s="1">
        <f>IF(B154="West",1,0)</f>
        <v>0</v>
      </c>
      <c r="E154" s="1">
        <f>IF(B154="North",1,0)</f>
        <v>0</v>
      </c>
      <c r="F154" s="1" t="s">
        <v>18</v>
      </c>
      <c r="G154" s="1">
        <f>IF(F154="Residential",1,0)</f>
        <v>0</v>
      </c>
      <c r="H154" s="1">
        <f>IF(F154="High Street",1,0)</f>
        <v>1</v>
      </c>
      <c r="I154" s="1">
        <f>IF(F154="Mall",1,0)</f>
        <v>0</v>
      </c>
    </row>
    <row r="155" spans="1:9">
      <c r="A155" s="1" t="s">
        <v>48</v>
      </c>
      <c r="B155" s="1" t="s">
        <v>27</v>
      </c>
      <c r="C155" s="1">
        <f>IF(B155="East",1,0)</f>
        <v>0</v>
      </c>
      <c r="D155" s="1">
        <f>IF(B155="West",1,0)</f>
        <v>1</v>
      </c>
      <c r="E155" s="1">
        <f>IF(B155="North",1,0)</f>
        <v>0</v>
      </c>
      <c r="F155" s="1" t="s">
        <v>18</v>
      </c>
      <c r="G155" s="1">
        <f>IF(F155="Residential",1,0)</f>
        <v>0</v>
      </c>
      <c r="H155" s="1">
        <f>IF(F155="High Street",1,0)</f>
        <v>1</v>
      </c>
      <c r="I155" s="1">
        <f>IF(F155="Mall",1,0)</f>
        <v>0</v>
      </c>
    </row>
    <row r="156" spans="1:9">
      <c r="A156" s="1" t="s">
        <v>86</v>
      </c>
      <c r="B156" s="1" t="s">
        <v>24</v>
      </c>
      <c r="C156" s="1">
        <f>IF(B156="East",1,0)</f>
        <v>0</v>
      </c>
      <c r="D156" s="1">
        <f>IF(B156="West",1,0)</f>
        <v>0</v>
      </c>
      <c r="E156" s="1">
        <f>IF(B156="North",1,0)</f>
        <v>0</v>
      </c>
      <c r="F156" s="1" t="s">
        <v>28</v>
      </c>
      <c r="G156" s="1">
        <f>IF(F156="Residential",1,0)</f>
        <v>0</v>
      </c>
      <c r="H156" s="1">
        <f>IF(F156="High Street",1,0)</f>
        <v>0</v>
      </c>
      <c r="I156" s="1">
        <f>IF(F156="Mall",1,0)</f>
        <v>1</v>
      </c>
    </row>
    <row r="157" spans="1:9">
      <c r="A157" s="1" t="s">
        <v>43</v>
      </c>
      <c r="B157" s="1" t="s">
        <v>27</v>
      </c>
      <c r="C157" s="1">
        <f>IF(B157="East",1,0)</f>
        <v>0</v>
      </c>
      <c r="D157" s="1">
        <f>IF(B157="West",1,0)</f>
        <v>1</v>
      </c>
      <c r="E157" s="1">
        <f>IF(B157="North",1,0)</f>
        <v>0</v>
      </c>
      <c r="F157" s="1" t="s">
        <v>18</v>
      </c>
      <c r="G157" s="1">
        <f>IF(F157="Residential",1,0)</f>
        <v>0</v>
      </c>
      <c r="H157" s="1">
        <f>IF(F157="High Street",1,0)</f>
        <v>1</v>
      </c>
      <c r="I157" s="1">
        <f>IF(F157="Mall",1,0)</f>
        <v>0</v>
      </c>
    </row>
    <row r="158" spans="1:9">
      <c r="A158" s="1" t="s">
        <v>70</v>
      </c>
      <c r="B158" s="1" t="s">
        <v>27</v>
      </c>
      <c r="C158" s="1">
        <f>IF(B158="East",1,0)</f>
        <v>0</v>
      </c>
      <c r="D158" s="1">
        <f>IF(B158="West",1,0)</f>
        <v>1</v>
      </c>
      <c r="E158" s="1">
        <f>IF(B158="North",1,0)</f>
        <v>0</v>
      </c>
      <c r="F158" s="1" t="s">
        <v>16</v>
      </c>
      <c r="G158" s="1">
        <f>IF(F158="Residential",1,0)</f>
        <v>1</v>
      </c>
      <c r="H158" s="1">
        <f>IF(F158="High Street",1,0)</f>
        <v>0</v>
      </c>
      <c r="I158" s="1">
        <f>IF(F158="Mall",1,0)</f>
        <v>0</v>
      </c>
    </row>
    <row r="159" spans="1:9">
      <c r="A159" s="1" t="s">
        <v>101</v>
      </c>
      <c r="B159" s="1" t="s">
        <v>15</v>
      </c>
      <c r="C159" s="1">
        <f>IF(B159="East",1,0)</f>
        <v>1</v>
      </c>
      <c r="D159" s="1">
        <f>IF(B159="West",1,0)</f>
        <v>0</v>
      </c>
      <c r="E159" s="1">
        <f>IF(B159="North",1,0)</f>
        <v>0</v>
      </c>
      <c r="F159" s="1" t="s">
        <v>16</v>
      </c>
      <c r="G159" s="1">
        <f>IF(F159="Residential",1,0)</f>
        <v>1</v>
      </c>
      <c r="H159" s="1">
        <f>IF(F159="High Street",1,0)</f>
        <v>0</v>
      </c>
      <c r="I159" s="1">
        <f>IF(F159="Mall",1,0)</f>
        <v>0</v>
      </c>
    </row>
    <row r="160" spans="1:9">
      <c r="A160" s="1" t="s">
        <v>83</v>
      </c>
      <c r="B160" s="1" t="s">
        <v>15</v>
      </c>
      <c r="C160" s="1">
        <f>IF(B160="East",1,0)</f>
        <v>1</v>
      </c>
      <c r="D160" s="1">
        <f>IF(B160="West",1,0)</f>
        <v>0</v>
      </c>
      <c r="E160" s="1">
        <f>IF(B160="North",1,0)</f>
        <v>0</v>
      </c>
      <c r="F160" s="1" t="s">
        <v>18</v>
      </c>
      <c r="G160" s="1">
        <f>IF(F160="Residential",1,0)</f>
        <v>0</v>
      </c>
      <c r="H160" s="1">
        <f>IF(F160="High Street",1,0)</f>
        <v>1</v>
      </c>
      <c r="I160" s="1">
        <f>IF(F160="Mall",1,0)</f>
        <v>0</v>
      </c>
    </row>
    <row r="161" spans="1:9">
      <c r="A161" s="1" t="s">
        <v>81</v>
      </c>
      <c r="B161" s="1" t="s">
        <v>27</v>
      </c>
      <c r="C161" s="1">
        <f>IF(B161="East",1,0)</f>
        <v>0</v>
      </c>
      <c r="D161" s="1">
        <f>IF(B161="West",1,0)</f>
        <v>1</v>
      </c>
      <c r="E161" s="1">
        <f>IF(B161="North",1,0)</f>
        <v>0</v>
      </c>
      <c r="F161" s="1" t="s">
        <v>28</v>
      </c>
      <c r="G161" s="1">
        <f>IF(F161="Residential",1,0)</f>
        <v>0</v>
      </c>
      <c r="H161" s="1">
        <f>IF(F161="High Street",1,0)</f>
        <v>0</v>
      </c>
      <c r="I161" s="1">
        <f>IF(F161="Mall",1,0)</f>
        <v>1</v>
      </c>
    </row>
    <row r="162" spans="1:9">
      <c r="A162" s="1" t="s">
        <v>58</v>
      </c>
      <c r="B162" s="1" t="s">
        <v>20</v>
      </c>
      <c r="C162" s="1">
        <f>IF(B162="East",1,0)</f>
        <v>0</v>
      </c>
      <c r="D162" s="1">
        <f>IF(B162="West",1,0)</f>
        <v>0</v>
      </c>
      <c r="E162" s="1">
        <f>IF(B162="North",1,0)</f>
        <v>1</v>
      </c>
      <c r="F162" s="1" t="s">
        <v>16</v>
      </c>
      <c r="G162" s="1">
        <f>IF(F162="Residential",1,0)</f>
        <v>1</v>
      </c>
      <c r="H162" s="1">
        <f>IF(F162="High Street",1,0)</f>
        <v>0</v>
      </c>
      <c r="I162" s="1">
        <f>IF(F162="Mall",1,0)</f>
        <v>0</v>
      </c>
    </row>
    <row r="163" spans="1:9">
      <c r="A163" s="1" t="s">
        <v>23</v>
      </c>
      <c r="B163" s="1" t="s">
        <v>24</v>
      </c>
      <c r="C163" s="1">
        <f>IF(B163="East",1,0)</f>
        <v>0</v>
      </c>
      <c r="D163" s="1">
        <f>IF(B163="West",1,0)</f>
        <v>0</v>
      </c>
      <c r="E163" s="1">
        <f>IF(B163="North",1,0)</f>
        <v>0</v>
      </c>
      <c r="F163" s="1" t="s">
        <v>16</v>
      </c>
      <c r="G163" s="1">
        <f>IF(F163="Residential",1,0)</f>
        <v>1</v>
      </c>
      <c r="H163" s="1">
        <f>IF(F163="High Street",1,0)</f>
        <v>0</v>
      </c>
      <c r="I163" s="1">
        <f>IF(F163="Mall",1,0)</f>
        <v>0</v>
      </c>
    </row>
    <row r="164" spans="1:9">
      <c r="A164" s="1" t="s">
        <v>32</v>
      </c>
      <c r="B164" s="1" t="s">
        <v>15</v>
      </c>
      <c r="C164" s="1">
        <f>IF(B164="East",1,0)</f>
        <v>1</v>
      </c>
      <c r="D164" s="1">
        <f>IF(B164="West",1,0)</f>
        <v>0</v>
      </c>
      <c r="E164" s="1">
        <f>IF(B164="North",1,0)</f>
        <v>0</v>
      </c>
      <c r="F164" s="1" t="s">
        <v>28</v>
      </c>
      <c r="G164" s="1">
        <f>IF(F164="Residential",1,0)</f>
        <v>0</v>
      </c>
      <c r="H164" s="1">
        <f>IF(F164="High Street",1,0)</f>
        <v>0</v>
      </c>
      <c r="I164" s="1">
        <f>IF(F164="Mall",1,0)</f>
        <v>1</v>
      </c>
    </row>
    <row r="165" spans="1:9">
      <c r="A165" s="1" t="s">
        <v>63</v>
      </c>
      <c r="B165" s="1" t="s">
        <v>20</v>
      </c>
      <c r="C165" s="1">
        <f>IF(B165="East",1,0)</f>
        <v>0</v>
      </c>
      <c r="D165" s="1">
        <f>IF(B165="West",1,0)</f>
        <v>0</v>
      </c>
      <c r="E165" s="1">
        <f>IF(B165="North",1,0)</f>
        <v>1</v>
      </c>
      <c r="F165" s="1" t="s">
        <v>28</v>
      </c>
      <c r="G165" s="1">
        <f>IF(F165="Residential",1,0)</f>
        <v>0</v>
      </c>
      <c r="H165" s="1">
        <f>IF(F165="High Street",1,0)</f>
        <v>0</v>
      </c>
      <c r="I165" s="1">
        <f>IF(F165="Mall",1,0)</f>
        <v>1</v>
      </c>
    </row>
    <row r="166" spans="1:9">
      <c r="A166" s="1" t="s">
        <v>92</v>
      </c>
      <c r="B166" s="1" t="s">
        <v>24</v>
      </c>
      <c r="C166" s="1">
        <f>IF(B166="East",1,0)</f>
        <v>0</v>
      </c>
      <c r="D166" s="1">
        <f>IF(B166="West",1,0)</f>
        <v>0</v>
      </c>
      <c r="E166" s="1">
        <f>IF(B166="North",1,0)</f>
        <v>0</v>
      </c>
      <c r="F166" s="1" t="s">
        <v>18</v>
      </c>
      <c r="G166" s="1">
        <f>IF(F166="Residential",1,0)</f>
        <v>0</v>
      </c>
      <c r="H166" s="1">
        <f>IF(F166="High Street",1,0)</f>
        <v>1</v>
      </c>
      <c r="I166" s="1">
        <f>IF(F166="Mall",1,0)</f>
        <v>0</v>
      </c>
    </row>
    <row r="167" spans="1:9">
      <c r="A167" s="1" t="s">
        <v>45</v>
      </c>
      <c r="B167" s="1" t="s">
        <v>27</v>
      </c>
      <c r="C167" s="1">
        <f>IF(B167="East",1,0)</f>
        <v>0</v>
      </c>
      <c r="D167" s="1">
        <f>IF(B167="West",1,0)</f>
        <v>1</v>
      </c>
      <c r="E167" s="1">
        <f>IF(B167="North",1,0)</f>
        <v>0</v>
      </c>
      <c r="F167" s="1" t="s">
        <v>16</v>
      </c>
      <c r="G167" s="1">
        <f>IF(F167="Residential",1,0)</f>
        <v>1</v>
      </c>
      <c r="H167" s="1">
        <f>IF(F167="High Street",1,0)</f>
        <v>0</v>
      </c>
      <c r="I167" s="1">
        <f>IF(F167="Mall",1,0)</f>
        <v>0</v>
      </c>
    </row>
    <row r="168" spans="1:9">
      <c r="A168" s="1" t="s">
        <v>53</v>
      </c>
      <c r="B168" s="1" t="s">
        <v>24</v>
      </c>
      <c r="C168" s="1">
        <f>IF(B168="East",1,0)</f>
        <v>0</v>
      </c>
      <c r="D168" s="1">
        <f>IF(B168="West",1,0)</f>
        <v>0</v>
      </c>
      <c r="E168" s="1">
        <f>IF(B168="North",1,0)</f>
        <v>0</v>
      </c>
      <c r="F168" s="1" t="s">
        <v>18</v>
      </c>
      <c r="G168" s="1">
        <f>IF(F168="Residential",1,0)</f>
        <v>0</v>
      </c>
      <c r="H168" s="1">
        <f>IF(F168="High Street",1,0)</f>
        <v>1</v>
      </c>
      <c r="I168" s="1">
        <f>IF(F168="Mall",1,0)</f>
        <v>0</v>
      </c>
    </row>
    <row r="169" spans="1:9">
      <c r="A169" s="1" t="s">
        <v>87</v>
      </c>
      <c r="B169" s="1" t="s">
        <v>27</v>
      </c>
      <c r="C169" s="1">
        <f>IF(B169="East",1,0)</f>
        <v>0</v>
      </c>
      <c r="D169" s="1">
        <f>IF(B169="West",1,0)</f>
        <v>1</v>
      </c>
      <c r="E169" s="1">
        <f>IF(B169="North",1,0)</f>
        <v>0</v>
      </c>
      <c r="F169" s="1" t="s">
        <v>18</v>
      </c>
      <c r="G169" s="1">
        <f>IF(F169="Residential",1,0)</f>
        <v>0</v>
      </c>
      <c r="H169" s="1">
        <f>IF(F169="High Street",1,0)</f>
        <v>1</v>
      </c>
      <c r="I169" s="1">
        <f>IF(F169="Mall",1,0)</f>
        <v>0</v>
      </c>
    </row>
    <row r="170" spans="1:9">
      <c r="A170" s="1" t="s">
        <v>77</v>
      </c>
      <c r="B170" s="1" t="s">
        <v>15</v>
      </c>
      <c r="C170" s="1">
        <f>IF(B170="East",1,0)</f>
        <v>1</v>
      </c>
      <c r="D170" s="1">
        <f>IF(B170="West",1,0)</f>
        <v>0</v>
      </c>
      <c r="E170" s="1">
        <f>IF(B170="North",1,0)</f>
        <v>0</v>
      </c>
      <c r="F170" s="1" t="s">
        <v>18</v>
      </c>
      <c r="G170" s="1">
        <f>IF(F170="Residential",1,0)</f>
        <v>0</v>
      </c>
      <c r="H170" s="1">
        <f>IF(F170="High Street",1,0)</f>
        <v>1</v>
      </c>
      <c r="I170" s="1">
        <f>IF(F170="Mall",1,0)</f>
        <v>0</v>
      </c>
    </row>
    <row r="171" spans="1:9">
      <c r="A171" s="1" t="s">
        <v>59</v>
      </c>
      <c r="B171" s="1" t="s">
        <v>24</v>
      </c>
      <c r="C171" s="1">
        <f>IF(B171="East",1,0)</f>
        <v>0</v>
      </c>
      <c r="D171" s="1">
        <f>IF(B171="West",1,0)</f>
        <v>0</v>
      </c>
      <c r="E171" s="1">
        <f>IF(B171="North",1,0)</f>
        <v>0</v>
      </c>
      <c r="F171" s="1" t="s">
        <v>28</v>
      </c>
      <c r="G171" s="1">
        <f>IF(F171="Residential",1,0)</f>
        <v>0</v>
      </c>
      <c r="H171" s="1">
        <f>IF(F171="High Street",1,0)</f>
        <v>0</v>
      </c>
      <c r="I171" s="1">
        <f>IF(F171="Mall",1,0)</f>
        <v>1</v>
      </c>
    </row>
    <row r="172" spans="1:9">
      <c r="A172" s="1" t="s">
        <v>93</v>
      </c>
      <c r="B172" s="1" t="s">
        <v>27</v>
      </c>
      <c r="C172" s="1">
        <f>IF(B172="East",1,0)</f>
        <v>0</v>
      </c>
      <c r="D172" s="1">
        <f>IF(B172="West",1,0)</f>
        <v>1</v>
      </c>
      <c r="E172" s="1">
        <f>IF(B172="North",1,0)</f>
        <v>0</v>
      </c>
      <c r="F172" s="1" t="s">
        <v>16</v>
      </c>
      <c r="G172" s="1">
        <f>IF(F172="Residential",1,0)</f>
        <v>1</v>
      </c>
      <c r="H172" s="1">
        <f>IF(F172="High Street",1,0)</f>
        <v>0</v>
      </c>
      <c r="I172" s="1">
        <f>IF(F172="Mall",1,0)</f>
        <v>0</v>
      </c>
    </row>
    <row r="173" spans="1:9">
      <c r="A173" s="1" t="s">
        <v>25</v>
      </c>
      <c r="B173" s="1" t="s">
        <v>20</v>
      </c>
      <c r="C173" s="1">
        <f>IF(B173="East",1,0)</f>
        <v>0</v>
      </c>
      <c r="D173" s="1">
        <f>IF(B173="West",1,0)</f>
        <v>0</v>
      </c>
      <c r="E173" s="1">
        <f>IF(B173="North",1,0)</f>
        <v>1</v>
      </c>
      <c r="F173" s="1" t="s">
        <v>16</v>
      </c>
      <c r="G173" s="1">
        <f>IF(F173="Residential",1,0)</f>
        <v>1</v>
      </c>
      <c r="H173" s="1">
        <f>IF(F173="High Street",1,0)</f>
        <v>0</v>
      </c>
      <c r="I173" s="1">
        <f>IF(F173="Mall",1,0)</f>
        <v>0</v>
      </c>
    </row>
    <row r="174" spans="1:9">
      <c r="A174" s="1" t="s">
        <v>26</v>
      </c>
      <c r="B174" s="1" t="s">
        <v>27</v>
      </c>
      <c r="C174" s="1">
        <f>IF(B174="East",1,0)</f>
        <v>0</v>
      </c>
      <c r="D174" s="1">
        <f>IF(B174="West",1,0)</f>
        <v>1</v>
      </c>
      <c r="E174" s="1">
        <f>IF(B174="North",1,0)</f>
        <v>0</v>
      </c>
      <c r="F174" s="1" t="s">
        <v>28</v>
      </c>
      <c r="G174" s="1">
        <f>IF(F174="Residential",1,0)</f>
        <v>0</v>
      </c>
      <c r="H174" s="1">
        <f>IF(F174="High Street",1,0)</f>
        <v>0</v>
      </c>
      <c r="I174" s="1">
        <f>IF(F174="Mall",1,0)</f>
        <v>1</v>
      </c>
    </row>
    <row r="175" spans="1:9">
      <c r="A175" s="1" t="s">
        <v>32</v>
      </c>
      <c r="B175" s="1" t="s">
        <v>15</v>
      </c>
      <c r="C175" s="1">
        <f>IF(B175="East",1,0)</f>
        <v>1</v>
      </c>
      <c r="D175" s="1">
        <f>IF(B175="West",1,0)</f>
        <v>0</v>
      </c>
      <c r="E175" s="1">
        <f>IF(B175="North",1,0)</f>
        <v>0</v>
      </c>
      <c r="F175" s="1" t="s">
        <v>28</v>
      </c>
      <c r="G175" s="1">
        <f>IF(F175="Residential",1,0)</f>
        <v>0</v>
      </c>
      <c r="H175" s="1">
        <f>IF(F175="High Street",1,0)</f>
        <v>0</v>
      </c>
      <c r="I175" s="1">
        <f>IF(F175="Mall",1,0)</f>
        <v>1</v>
      </c>
    </row>
    <row r="176" spans="1:9">
      <c r="A176" s="1" t="s">
        <v>95</v>
      </c>
      <c r="B176" s="1" t="s">
        <v>27</v>
      </c>
      <c r="C176" s="1">
        <f>IF(B176="East",1,0)</f>
        <v>0</v>
      </c>
      <c r="D176" s="1">
        <f>IF(B176="West",1,0)</f>
        <v>1</v>
      </c>
      <c r="E176" s="1">
        <f>IF(B176="North",1,0)</f>
        <v>0</v>
      </c>
      <c r="F176" s="1" t="s">
        <v>18</v>
      </c>
      <c r="G176" s="1">
        <f>IF(F176="Residential",1,0)</f>
        <v>0</v>
      </c>
      <c r="H176" s="1">
        <f>IF(F176="High Street",1,0)</f>
        <v>1</v>
      </c>
      <c r="I176" s="1">
        <f>IF(F176="Mall",1,0)</f>
        <v>0</v>
      </c>
    </row>
    <row r="177" spans="1:9">
      <c r="A177" s="1" t="s">
        <v>30</v>
      </c>
      <c r="B177" s="1" t="s">
        <v>20</v>
      </c>
      <c r="C177" s="1">
        <f>IF(B177="East",1,0)</f>
        <v>0</v>
      </c>
      <c r="D177" s="1">
        <f>IF(B177="West",1,0)</f>
        <v>0</v>
      </c>
      <c r="E177" s="1">
        <f>IF(B177="North",1,0)</f>
        <v>1</v>
      </c>
      <c r="F177" s="1" t="s">
        <v>16</v>
      </c>
      <c r="G177" s="1">
        <f>IF(F177="Residential",1,0)</f>
        <v>1</v>
      </c>
      <c r="H177" s="1">
        <f>IF(F177="High Street",1,0)</f>
        <v>0</v>
      </c>
      <c r="I177" s="1">
        <f>IF(F177="Mall",1,0)</f>
        <v>0</v>
      </c>
    </row>
    <row r="178" spans="1:9">
      <c r="A178" s="1" t="s">
        <v>69</v>
      </c>
      <c r="B178" s="1" t="s">
        <v>15</v>
      </c>
      <c r="C178" s="1">
        <f>IF(B178="East",1,0)</f>
        <v>1</v>
      </c>
      <c r="D178" s="1">
        <f>IF(B178="West",1,0)</f>
        <v>0</v>
      </c>
      <c r="E178" s="1">
        <f>IF(B178="North",1,0)</f>
        <v>0</v>
      </c>
      <c r="F178" s="1" t="s">
        <v>18</v>
      </c>
      <c r="G178" s="1">
        <f>IF(F178="Residential",1,0)</f>
        <v>0</v>
      </c>
      <c r="H178" s="1">
        <f>IF(F178="High Street",1,0)</f>
        <v>1</v>
      </c>
      <c r="I178" s="1">
        <f>IF(F178="Mall",1,0)</f>
        <v>0</v>
      </c>
    </row>
    <row r="179" spans="1:9">
      <c r="A179" s="1" t="s">
        <v>74</v>
      </c>
      <c r="B179" s="1" t="s">
        <v>15</v>
      </c>
      <c r="C179" s="1">
        <f>IF(B179="East",1,0)</f>
        <v>1</v>
      </c>
      <c r="D179" s="1">
        <f>IF(B179="West",1,0)</f>
        <v>0</v>
      </c>
      <c r="E179" s="1">
        <f>IF(B179="North",1,0)</f>
        <v>0</v>
      </c>
      <c r="F179" s="1" t="s">
        <v>18</v>
      </c>
      <c r="G179" s="1">
        <f>IF(F179="Residential",1,0)</f>
        <v>0</v>
      </c>
      <c r="H179" s="1">
        <f>IF(F179="High Street",1,0)</f>
        <v>1</v>
      </c>
      <c r="I179" s="1">
        <f>IF(F179="Mall",1,0)</f>
        <v>0</v>
      </c>
    </row>
    <row r="180" spans="1:9">
      <c r="A180" s="1" t="s">
        <v>34</v>
      </c>
      <c r="B180" s="1" t="s">
        <v>20</v>
      </c>
      <c r="C180" s="1">
        <f>IF(B180="East",1,0)</f>
        <v>0</v>
      </c>
      <c r="D180" s="1">
        <f>IF(B180="West",1,0)</f>
        <v>0</v>
      </c>
      <c r="E180" s="1">
        <f>IF(B180="North",1,0)</f>
        <v>1</v>
      </c>
      <c r="F180" s="1" t="s">
        <v>28</v>
      </c>
      <c r="G180" s="1">
        <f>IF(F180="Residential",1,0)</f>
        <v>0</v>
      </c>
      <c r="H180" s="1">
        <f>IF(F180="High Street",1,0)</f>
        <v>0</v>
      </c>
      <c r="I180" s="1">
        <f>IF(F180="Mall",1,0)</f>
        <v>1</v>
      </c>
    </row>
    <row r="181" spans="1:9">
      <c r="A181" s="1" t="s">
        <v>60</v>
      </c>
      <c r="B181" s="1" t="s">
        <v>15</v>
      </c>
      <c r="C181" s="1">
        <f>IF(B181="East",1,0)</f>
        <v>1</v>
      </c>
      <c r="D181" s="1">
        <f>IF(B181="West",1,0)</f>
        <v>0</v>
      </c>
      <c r="E181" s="1">
        <f>IF(B181="North",1,0)</f>
        <v>0</v>
      </c>
      <c r="F181" s="1" t="s">
        <v>18</v>
      </c>
      <c r="G181" s="1">
        <f>IF(F181="Residential",1,0)</f>
        <v>0</v>
      </c>
      <c r="H181" s="1">
        <f>IF(F181="High Street",1,0)</f>
        <v>1</v>
      </c>
      <c r="I181" s="1">
        <f>IF(F181="Mall",1,0)</f>
        <v>0</v>
      </c>
    </row>
    <row r="182" spans="1:9">
      <c r="A182" s="1" t="s">
        <v>58</v>
      </c>
      <c r="B182" s="1" t="s">
        <v>20</v>
      </c>
      <c r="C182" s="1">
        <f>IF(B182="East",1,0)</f>
        <v>0</v>
      </c>
      <c r="D182" s="1">
        <f>IF(B182="West",1,0)</f>
        <v>0</v>
      </c>
      <c r="E182" s="1">
        <f>IF(B182="North",1,0)</f>
        <v>1</v>
      </c>
      <c r="F182" s="1" t="s">
        <v>16</v>
      </c>
      <c r="G182" s="1">
        <f>IF(F182="Residential",1,0)</f>
        <v>1</v>
      </c>
      <c r="H182" s="1">
        <f>IF(F182="High Street",1,0)</f>
        <v>0</v>
      </c>
      <c r="I182" s="1">
        <f>IF(F182="Mall",1,0)</f>
        <v>0</v>
      </c>
    </row>
    <row r="183" spans="1:9">
      <c r="A183" s="1" t="s">
        <v>68</v>
      </c>
      <c r="B183" s="1" t="s">
        <v>20</v>
      </c>
      <c r="C183" s="1">
        <f>IF(B183="East",1,0)</f>
        <v>0</v>
      </c>
      <c r="D183" s="1">
        <f>IF(B183="West",1,0)</f>
        <v>0</v>
      </c>
      <c r="E183" s="1">
        <f>IF(B183="North",1,0)</f>
        <v>1</v>
      </c>
      <c r="F183" s="1" t="s">
        <v>18</v>
      </c>
      <c r="G183" s="1">
        <f>IF(F183="Residential",1,0)</f>
        <v>0</v>
      </c>
      <c r="H183" s="1">
        <f>IF(F183="High Street",1,0)</f>
        <v>1</v>
      </c>
      <c r="I183" s="1">
        <f>IF(F183="Mall",1,0)</f>
        <v>0</v>
      </c>
    </row>
    <row r="184" spans="1:9">
      <c r="A184" s="1" t="s">
        <v>67</v>
      </c>
      <c r="B184" s="1" t="s">
        <v>27</v>
      </c>
      <c r="C184" s="1">
        <f>IF(B184="East",1,0)</f>
        <v>0</v>
      </c>
      <c r="D184" s="1">
        <f>IF(B184="West",1,0)</f>
        <v>1</v>
      </c>
      <c r="E184" s="1">
        <f>IF(B184="North",1,0)</f>
        <v>0</v>
      </c>
      <c r="F184" s="1" t="s">
        <v>16</v>
      </c>
      <c r="G184" s="1">
        <f>IF(F184="Residential",1,0)</f>
        <v>1</v>
      </c>
      <c r="H184" s="1">
        <f>IF(F184="High Street",1,0)</f>
        <v>0</v>
      </c>
      <c r="I184" s="1">
        <f>IF(F184="Mall",1,0)</f>
        <v>0</v>
      </c>
    </row>
    <row r="185" spans="1:9">
      <c r="A185" s="1" t="s">
        <v>38</v>
      </c>
      <c r="B185" s="1" t="s">
        <v>27</v>
      </c>
      <c r="C185" s="1">
        <f>IF(B185="East",1,0)</f>
        <v>0</v>
      </c>
      <c r="D185" s="1">
        <f>IF(B185="West",1,0)</f>
        <v>1</v>
      </c>
      <c r="E185" s="1">
        <f>IF(B185="North",1,0)</f>
        <v>0</v>
      </c>
      <c r="F185" s="1" t="s">
        <v>18</v>
      </c>
      <c r="G185" s="1">
        <f>IF(F185="Residential",1,0)</f>
        <v>0</v>
      </c>
      <c r="H185" s="1">
        <f>IF(F185="High Street",1,0)</f>
        <v>1</v>
      </c>
      <c r="I185" s="1">
        <f>IF(F185="Mall",1,0)</f>
        <v>0</v>
      </c>
    </row>
    <row r="186" spans="1:9">
      <c r="A186" s="1" t="s">
        <v>93</v>
      </c>
      <c r="B186" s="1" t="s">
        <v>27</v>
      </c>
      <c r="C186" s="1">
        <f>IF(B186="East",1,0)</f>
        <v>0</v>
      </c>
      <c r="D186" s="1">
        <f>IF(B186="West",1,0)</f>
        <v>1</v>
      </c>
      <c r="E186" s="1">
        <f>IF(B186="North",1,0)</f>
        <v>0</v>
      </c>
      <c r="F186" s="1" t="s">
        <v>16</v>
      </c>
      <c r="G186" s="1">
        <f>IF(F186="Residential",1,0)</f>
        <v>1</v>
      </c>
      <c r="H186" s="1">
        <f>IF(F186="High Street",1,0)</f>
        <v>0</v>
      </c>
      <c r="I186" s="1">
        <f>IF(F186="Mall",1,0)</f>
        <v>0</v>
      </c>
    </row>
    <row r="187" spans="1:9">
      <c r="A187" s="1" t="s">
        <v>51</v>
      </c>
      <c r="B187" s="1" t="s">
        <v>27</v>
      </c>
      <c r="C187" s="1">
        <f>IF(B187="East",1,0)</f>
        <v>0</v>
      </c>
      <c r="D187" s="1">
        <f>IF(B187="West",1,0)</f>
        <v>1</v>
      </c>
      <c r="E187" s="1">
        <f>IF(B187="North",1,0)</f>
        <v>0</v>
      </c>
      <c r="F187" s="1" t="s">
        <v>16</v>
      </c>
      <c r="G187" s="1">
        <f>IF(F187="Residential",1,0)</f>
        <v>1</v>
      </c>
      <c r="H187" s="1">
        <f>IF(F187="High Street",1,0)</f>
        <v>0</v>
      </c>
      <c r="I187" s="1">
        <f>IF(F187="Mall",1,0)</f>
        <v>0</v>
      </c>
    </row>
    <row r="188" spans="1:9">
      <c r="A188" s="1" t="s">
        <v>29</v>
      </c>
      <c r="B188" s="1" t="s">
        <v>15</v>
      </c>
      <c r="C188" s="1">
        <f>IF(B188="East",1,0)</f>
        <v>1</v>
      </c>
      <c r="D188" s="1">
        <f>IF(B188="West",1,0)</f>
        <v>0</v>
      </c>
      <c r="E188" s="1">
        <f>IF(B188="North",1,0)</f>
        <v>0</v>
      </c>
      <c r="F188" s="1" t="s">
        <v>16</v>
      </c>
      <c r="G188" s="1">
        <f>IF(F188="Residential",1,0)</f>
        <v>1</v>
      </c>
      <c r="H188" s="1">
        <f>IF(F188="High Street",1,0)</f>
        <v>0</v>
      </c>
      <c r="I188" s="1">
        <f>IF(F188="Mall",1,0)</f>
        <v>0</v>
      </c>
    </row>
    <row r="189" spans="1:9">
      <c r="A189" s="1" t="s">
        <v>90</v>
      </c>
      <c r="B189" s="1" t="s">
        <v>27</v>
      </c>
      <c r="C189" s="1">
        <f>IF(B189="East",1,0)</f>
        <v>0</v>
      </c>
      <c r="D189" s="1">
        <f>IF(B189="West",1,0)</f>
        <v>1</v>
      </c>
      <c r="E189" s="1">
        <f>IF(B189="North",1,0)</f>
        <v>0</v>
      </c>
      <c r="F189" s="1" t="s">
        <v>18</v>
      </c>
      <c r="G189" s="1">
        <f>IF(F189="Residential",1,0)</f>
        <v>0</v>
      </c>
      <c r="H189" s="1">
        <f>IF(F189="High Street",1,0)</f>
        <v>1</v>
      </c>
      <c r="I189" s="1">
        <f>IF(F189="Mall",1,0)</f>
        <v>0</v>
      </c>
    </row>
    <row r="190" spans="1:9">
      <c r="A190" s="1" t="s">
        <v>83</v>
      </c>
      <c r="B190" s="1" t="s">
        <v>15</v>
      </c>
      <c r="C190" s="1">
        <f>IF(B190="East",1,0)</f>
        <v>1</v>
      </c>
      <c r="D190" s="1">
        <f>IF(B190="West",1,0)</f>
        <v>0</v>
      </c>
      <c r="E190" s="1">
        <f>IF(B190="North",1,0)</f>
        <v>0</v>
      </c>
      <c r="F190" s="1" t="s">
        <v>18</v>
      </c>
      <c r="G190" s="1">
        <f>IF(F190="Residential",1,0)</f>
        <v>0</v>
      </c>
      <c r="H190" s="1">
        <f>IF(F190="High Street",1,0)</f>
        <v>1</v>
      </c>
      <c r="I190" s="1">
        <f>IF(F190="Mall",1,0)</f>
        <v>0</v>
      </c>
    </row>
    <row r="191" spans="1:9">
      <c r="A191" s="1" t="s">
        <v>87</v>
      </c>
      <c r="B191" s="1" t="s">
        <v>27</v>
      </c>
      <c r="C191" s="1">
        <f>IF(B191="East",1,0)</f>
        <v>0</v>
      </c>
      <c r="D191" s="1">
        <f>IF(B191="West",1,0)</f>
        <v>1</v>
      </c>
      <c r="E191" s="1">
        <f>IF(B191="North",1,0)</f>
        <v>0</v>
      </c>
      <c r="F191" s="1" t="s">
        <v>18</v>
      </c>
      <c r="G191" s="1">
        <f>IF(F191="Residential",1,0)</f>
        <v>0</v>
      </c>
      <c r="H191" s="1">
        <f>IF(F191="High Street",1,0)</f>
        <v>1</v>
      </c>
      <c r="I191" s="1">
        <f>IF(F191="Mall",1,0)</f>
        <v>0</v>
      </c>
    </row>
    <row r="192" spans="1:9">
      <c r="A192" s="1" t="s">
        <v>75</v>
      </c>
      <c r="B192" s="1" t="s">
        <v>27</v>
      </c>
      <c r="C192" s="1">
        <f>IF(B192="East",1,0)</f>
        <v>0</v>
      </c>
      <c r="D192" s="1">
        <f>IF(B192="West",1,0)</f>
        <v>1</v>
      </c>
      <c r="E192" s="1">
        <f>IF(B192="North",1,0)</f>
        <v>0</v>
      </c>
      <c r="F192" s="1" t="s">
        <v>16</v>
      </c>
      <c r="G192" s="1">
        <f>IF(F192="Residential",1,0)</f>
        <v>1</v>
      </c>
      <c r="H192" s="1">
        <f>IF(F192="High Street",1,0)</f>
        <v>0</v>
      </c>
      <c r="I192" s="1">
        <f>IF(F192="Mall",1,0)</f>
        <v>0</v>
      </c>
    </row>
    <row r="193" spans="1:9">
      <c r="A193" s="1" t="s">
        <v>17</v>
      </c>
      <c r="B193" s="1" t="s">
        <v>15</v>
      </c>
      <c r="C193" s="1">
        <f>IF(B193="East",1,0)</f>
        <v>1</v>
      </c>
      <c r="D193" s="1">
        <f>IF(B193="West",1,0)</f>
        <v>0</v>
      </c>
      <c r="E193" s="1">
        <f>IF(B193="North",1,0)</f>
        <v>0</v>
      </c>
      <c r="F193" s="1" t="s">
        <v>18</v>
      </c>
      <c r="G193" s="1">
        <f>IF(F193="Residential",1,0)</f>
        <v>0</v>
      </c>
      <c r="H193" s="1">
        <f>IF(F193="High Street",1,0)</f>
        <v>1</v>
      </c>
      <c r="I193" s="1">
        <f>IF(F193="Mall",1,0)</f>
        <v>0</v>
      </c>
    </row>
    <row r="194" spans="1:9">
      <c r="A194" s="1" t="s">
        <v>84</v>
      </c>
      <c r="B194" s="1" t="s">
        <v>20</v>
      </c>
      <c r="C194" s="1">
        <f>IF(B194="East",1,0)</f>
        <v>0</v>
      </c>
      <c r="D194" s="1">
        <f>IF(B194="West",1,0)</f>
        <v>0</v>
      </c>
      <c r="E194" s="1">
        <f>IF(B194="North",1,0)</f>
        <v>1</v>
      </c>
      <c r="F194" s="1" t="s">
        <v>18</v>
      </c>
      <c r="G194" s="1">
        <f>IF(F194="Residential",1,0)</f>
        <v>0</v>
      </c>
      <c r="H194" s="1">
        <f>IF(F194="High Street",1,0)</f>
        <v>1</v>
      </c>
      <c r="I194" s="1">
        <f>IF(F194="Mall",1,0)</f>
        <v>0</v>
      </c>
    </row>
    <row r="195" spans="1:9">
      <c r="A195" s="1" t="s">
        <v>93</v>
      </c>
      <c r="B195" s="1" t="s">
        <v>27</v>
      </c>
      <c r="C195" s="1">
        <f>IF(B195="East",1,0)</f>
        <v>0</v>
      </c>
      <c r="D195" s="1">
        <f>IF(B195="West",1,0)</f>
        <v>1</v>
      </c>
      <c r="E195" s="1">
        <f>IF(B195="North",1,0)</f>
        <v>0</v>
      </c>
      <c r="F195" s="1" t="s">
        <v>16</v>
      </c>
      <c r="G195" s="1">
        <f>IF(F195="Residential",1,0)</f>
        <v>1</v>
      </c>
      <c r="H195" s="1">
        <f>IF(F195="High Street",1,0)</f>
        <v>0</v>
      </c>
      <c r="I195" s="1">
        <f>IF(F195="Mall",1,0)</f>
        <v>0</v>
      </c>
    </row>
    <row r="196" spans="1:9">
      <c r="A196" s="1" t="s">
        <v>66</v>
      </c>
      <c r="B196" s="1" t="s">
        <v>27</v>
      </c>
      <c r="C196" s="1">
        <f>IF(B196="East",1,0)</f>
        <v>0</v>
      </c>
      <c r="D196" s="1">
        <f>IF(B196="West",1,0)</f>
        <v>1</v>
      </c>
      <c r="E196" s="1">
        <f>IF(B196="North",1,0)</f>
        <v>0</v>
      </c>
      <c r="F196" s="1" t="s">
        <v>21</v>
      </c>
      <c r="G196" s="1">
        <f>IF(F196="Residential",1,0)</f>
        <v>0</v>
      </c>
      <c r="H196" s="1">
        <f>IF(F196="High Street",1,0)</f>
        <v>0</v>
      </c>
      <c r="I196" s="1">
        <f>IF(F196="Mall",1,0)</f>
        <v>0</v>
      </c>
    </row>
    <row r="197" spans="1:9">
      <c r="A197" s="1" t="s">
        <v>76</v>
      </c>
      <c r="B197" s="1" t="s">
        <v>20</v>
      </c>
      <c r="C197" s="1">
        <f>IF(B197="East",1,0)</f>
        <v>0</v>
      </c>
      <c r="D197" s="1">
        <f>IF(B197="West",1,0)</f>
        <v>0</v>
      </c>
      <c r="E197" s="1">
        <f>IF(B197="North",1,0)</f>
        <v>1</v>
      </c>
      <c r="F197" s="1" t="s">
        <v>21</v>
      </c>
      <c r="G197" s="1">
        <f>IF(F197="Residential",1,0)</f>
        <v>0</v>
      </c>
      <c r="H197" s="1">
        <f>IF(F197="High Street",1,0)</f>
        <v>0</v>
      </c>
      <c r="I197" s="1">
        <f>IF(F197="Mall",1,0)</f>
        <v>0</v>
      </c>
    </row>
    <row r="198" spans="1:9">
      <c r="A198" s="1" t="s">
        <v>78</v>
      </c>
      <c r="B198" s="1" t="s">
        <v>15</v>
      </c>
      <c r="C198" s="1">
        <f>IF(B198="East",1,0)</f>
        <v>1</v>
      </c>
      <c r="D198" s="1">
        <f>IF(B198="West",1,0)</f>
        <v>0</v>
      </c>
      <c r="E198" s="1">
        <f>IF(B198="North",1,0)</f>
        <v>0</v>
      </c>
      <c r="F198" s="1" t="s">
        <v>28</v>
      </c>
      <c r="G198" s="1">
        <f>IF(F198="Residential",1,0)</f>
        <v>0</v>
      </c>
      <c r="H198" s="1">
        <f>IF(F198="High Street",1,0)</f>
        <v>0</v>
      </c>
      <c r="I198" s="1">
        <f>IF(F198="Mall",1,0)</f>
        <v>1</v>
      </c>
    </row>
    <row r="199" spans="1:9">
      <c r="A199" s="1" t="s">
        <v>95</v>
      </c>
      <c r="B199" s="1" t="s">
        <v>27</v>
      </c>
      <c r="C199" s="1">
        <f>IF(B199="East",1,0)</f>
        <v>0</v>
      </c>
      <c r="D199" s="1">
        <f>IF(B199="West",1,0)</f>
        <v>1</v>
      </c>
      <c r="E199" s="1">
        <f>IF(B199="North",1,0)</f>
        <v>0</v>
      </c>
      <c r="F199" s="1" t="s">
        <v>18</v>
      </c>
      <c r="G199" s="1">
        <f>IF(F199="Residential",1,0)</f>
        <v>0</v>
      </c>
      <c r="H199" s="1">
        <f>IF(F199="High Street",1,0)</f>
        <v>1</v>
      </c>
      <c r="I199" s="1">
        <f>IF(F199="Mall",1,0)</f>
        <v>0</v>
      </c>
    </row>
    <row r="200" spans="1:9">
      <c r="A200" s="1" t="s">
        <v>70</v>
      </c>
      <c r="B200" s="1" t="s">
        <v>27</v>
      </c>
      <c r="C200" s="1">
        <f>IF(B200="East",1,0)</f>
        <v>0</v>
      </c>
      <c r="D200" s="1">
        <f>IF(B200="West",1,0)</f>
        <v>1</v>
      </c>
      <c r="E200" s="1">
        <f>IF(B200="North",1,0)</f>
        <v>0</v>
      </c>
      <c r="F200" s="1" t="s">
        <v>16</v>
      </c>
      <c r="G200" s="1">
        <f>IF(F200="Residential",1,0)</f>
        <v>1</v>
      </c>
      <c r="H200" s="1">
        <f>IF(F200="High Street",1,0)</f>
        <v>0</v>
      </c>
      <c r="I200" s="1">
        <f>IF(F200="Mall",1,0)</f>
        <v>0</v>
      </c>
    </row>
    <row r="201" spans="1:9">
      <c r="A201" s="1" t="s">
        <v>65</v>
      </c>
      <c r="B201" s="1" t="s">
        <v>15</v>
      </c>
      <c r="C201" s="1">
        <f>IF(B201="East",1,0)</f>
        <v>1</v>
      </c>
      <c r="D201" s="1">
        <f>IF(B201="West",1,0)</f>
        <v>0</v>
      </c>
      <c r="E201" s="1">
        <f>IF(B201="North",1,0)</f>
        <v>0</v>
      </c>
      <c r="F201" s="1" t="s">
        <v>16</v>
      </c>
      <c r="G201" s="1">
        <f>IF(F201="Residential",1,0)</f>
        <v>1</v>
      </c>
      <c r="H201" s="1">
        <f>IF(F201="High Street",1,0)</f>
        <v>0</v>
      </c>
      <c r="I201" s="1">
        <f>IF(F201="Mall",1,0)</f>
        <v>0</v>
      </c>
    </row>
    <row r="202" spans="1:9">
      <c r="A202" s="1" t="s">
        <v>91</v>
      </c>
      <c r="B202" s="1" t="s">
        <v>24</v>
      </c>
      <c r="C202" s="1">
        <f>IF(B202="East",1,0)</f>
        <v>0</v>
      </c>
      <c r="D202" s="1">
        <f>IF(B202="West",1,0)</f>
        <v>0</v>
      </c>
      <c r="E202" s="1">
        <f>IF(B202="North",1,0)</f>
        <v>0</v>
      </c>
      <c r="F202" s="1" t="s">
        <v>16</v>
      </c>
      <c r="G202" s="1">
        <f>IF(F202="Residential",1,0)</f>
        <v>1</v>
      </c>
      <c r="H202" s="1">
        <f>IF(F202="High Street",1,0)</f>
        <v>0</v>
      </c>
      <c r="I202" s="1">
        <f>IF(F202="Mall",1,0)</f>
        <v>0</v>
      </c>
    </row>
    <row r="203" spans="1:9">
      <c r="A203" s="1" t="s">
        <v>67</v>
      </c>
      <c r="B203" s="1" t="s">
        <v>27</v>
      </c>
      <c r="C203" s="1">
        <f>IF(B203="East",1,0)</f>
        <v>0</v>
      </c>
      <c r="D203" s="1">
        <f>IF(B203="West",1,0)</f>
        <v>1</v>
      </c>
      <c r="E203" s="1">
        <f>IF(B203="North",1,0)</f>
        <v>0</v>
      </c>
      <c r="F203" s="1" t="s">
        <v>16</v>
      </c>
      <c r="G203" s="1">
        <f>IF(F203="Residential",1,0)</f>
        <v>1</v>
      </c>
      <c r="H203" s="1">
        <f>IF(F203="High Street",1,0)</f>
        <v>0</v>
      </c>
      <c r="I203" s="1">
        <f>IF(F203="Mall",1,0)</f>
        <v>0</v>
      </c>
    </row>
    <row r="204" spans="1:9">
      <c r="A204" s="1" t="s">
        <v>34</v>
      </c>
      <c r="B204" s="1" t="s">
        <v>20</v>
      </c>
      <c r="C204" s="1">
        <f>IF(B204="East",1,0)</f>
        <v>0</v>
      </c>
      <c r="D204" s="1">
        <f>IF(B204="West",1,0)</f>
        <v>0</v>
      </c>
      <c r="E204" s="1">
        <f>IF(B204="North",1,0)</f>
        <v>1</v>
      </c>
      <c r="F204" s="1" t="s">
        <v>28</v>
      </c>
      <c r="G204" s="1">
        <f>IF(F204="Residential",1,0)</f>
        <v>0</v>
      </c>
      <c r="H204" s="1">
        <f>IF(F204="High Street",1,0)</f>
        <v>0</v>
      </c>
      <c r="I204" s="1">
        <f>IF(F204="Mall",1,0)</f>
        <v>1</v>
      </c>
    </row>
    <row r="205" spans="1:9">
      <c r="A205" s="1" t="s">
        <v>40</v>
      </c>
      <c r="B205" s="1" t="s">
        <v>15</v>
      </c>
      <c r="C205" s="1">
        <f>IF(B205="East",1,0)</f>
        <v>1</v>
      </c>
      <c r="D205" s="1">
        <f>IF(B205="West",1,0)</f>
        <v>0</v>
      </c>
      <c r="E205" s="1">
        <f>IF(B205="North",1,0)</f>
        <v>0</v>
      </c>
      <c r="F205" s="1" t="s">
        <v>16</v>
      </c>
      <c r="G205" s="1">
        <f>IF(F205="Residential",1,0)</f>
        <v>1</v>
      </c>
      <c r="H205" s="1">
        <f>IF(F205="High Street",1,0)</f>
        <v>0</v>
      </c>
      <c r="I205" s="1">
        <f>IF(F205="Mall",1,0)</f>
        <v>0</v>
      </c>
    </row>
    <row r="206" spans="1:9">
      <c r="A206" s="1" t="s">
        <v>67</v>
      </c>
      <c r="B206" s="1" t="s">
        <v>27</v>
      </c>
      <c r="C206" s="1">
        <f>IF(B206="East",1,0)</f>
        <v>0</v>
      </c>
      <c r="D206" s="1">
        <f>IF(B206="West",1,0)</f>
        <v>1</v>
      </c>
      <c r="E206" s="1">
        <f>IF(B206="North",1,0)</f>
        <v>0</v>
      </c>
      <c r="F206" s="1" t="s">
        <v>16</v>
      </c>
      <c r="G206" s="1">
        <f>IF(F206="Residential",1,0)</f>
        <v>1</v>
      </c>
      <c r="H206" s="1">
        <f>IF(F206="High Street",1,0)</f>
        <v>0</v>
      </c>
      <c r="I206" s="1">
        <f>IF(F206="Mall",1,0)</f>
        <v>0</v>
      </c>
    </row>
    <row r="207" spans="1:9">
      <c r="A207" s="1" t="s">
        <v>78</v>
      </c>
      <c r="B207" s="1" t="s">
        <v>15</v>
      </c>
      <c r="C207" s="1">
        <f>IF(B207="East",1,0)</f>
        <v>1</v>
      </c>
      <c r="D207" s="1">
        <f>IF(B207="West",1,0)</f>
        <v>0</v>
      </c>
      <c r="E207" s="1">
        <f>IF(B207="North",1,0)</f>
        <v>0</v>
      </c>
      <c r="F207" s="1" t="s">
        <v>28</v>
      </c>
      <c r="G207" s="1">
        <f>IF(F207="Residential",1,0)</f>
        <v>0</v>
      </c>
      <c r="H207" s="1">
        <f>IF(F207="High Street",1,0)</f>
        <v>0</v>
      </c>
      <c r="I207" s="1">
        <f>IF(F207="Mall",1,0)</f>
        <v>1</v>
      </c>
    </row>
    <row r="208" spans="1:9">
      <c r="A208" s="1" t="s">
        <v>51</v>
      </c>
      <c r="B208" s="1" t="s">
        <v>27</v>
      </c>
      <c r="C208" s="1">
        <f>IF(B208="East",1,0)</f>
        <v>0</v>
      </c>
      <c r="D208" s="1">
        <f>IF(B208="West",1,0)</f>
        <v>1</v>
      </c>
      <c r="E208" s="1">
        <f>IF(B208="North",1,0)</f>
        <v>0</v>
      </c>
      <c r="F208" s="1" t="s">
        <v>16</v>
      </c>
      <c r="G208" s="1">
        <f>IF(F208="Residential",1,0)</f>
        <v>1</v>
      </c>
      <c r="H208" s="1">
        <f>IF(F208="High Street",1,0)</f>
        <v>0</v>
      </c>
      <c r="I208" s="1">
        <f>IF(F208="Mall",1,0)</f>
        <v>0</v>
      </c>
    </row>
    <row r="209" spans="1:9">
      <c r="A209" s="1" t="s">
        <v>82</v>
      </c>
      <c r="B209" s="1" t="s">
        <v>24</v>
      </c>
      <c r="C209" s="1">
        <f>IF(B209="East",1,0)</f>
        <v>0</v>
      </c>
      <c r="D209" s="1">
        <f>IF(B209="West",1,0)</f>
        <v>0</v>
      </c>
      <c r="E209" s="1">
        <f>IF(B209="North",1,0)</f>
        <v>0</v>
      </c>
      <c r="F209" s="1" t="s">
        <v>21</v>
      </c>
      <c r="G209" s="1">
        <f>IF(F209="Residential",1,0)</f>
        <v>0</v>
      </c>
      <c r="H209" s="1">
        <f>IF(F209="High Street",1,0)</f>
        <v>0</v>
      </c>
      <c r="I209" s="1">
        <f>IF(F209="Mall",1,0)</f>
        <v>0</v>
      </c>
    </row>
    <row r="210" spans="1:9">
      <c r="A210" s="1" t="s">
        <v>42</v>
      </c>
      <c r="B210" s="1" t="s">
        <v>27</v>
      </c>
      <c r="C210" s="1">
        <f>IF(B210="East",1,0)</f>
        <v>0</v>
      </c>
      <c r="D210" s="1">
        <f>IF(B210="West",1,0)</f>
        <v>1</v>
      </c>
      <c r="E210" s="1">
        <f>IF(B210="North",1,0)</f>
        <v>0</v>
      </c>
      <c r="F210" s="1" t="s">
        <v>28</v>
      </c>
      <c r="G210" s="1">
        <f>IF(F210="Residential",1,0)</f>
        <v>0</v>
      </c>
      <c r="H210" s="1">
        <f>IF(F210="High Street",1,0)</f>
        <v>0</v>
      </c>
      <c r="I210" s="1">
        <f>IF(F210="Mall",1,0)</f>
        <v>1</v>
      </c>
    </row>
    <row r="211" spans="1:9">
      <c r="A211" s="1" t="s">
        <v>101</v>
      </c>
      <c r="B211" s="1" t="s">
        <v>15</v>
      </c>
      <c r="C211" s="1">
        <f>IF(B211="East",1,0)</f>
        <v>1</v>
      </c>
      <c r="D211" s="1">
        <f>IF(B211="West",1,0)</f>
        <v>0</v>
      </c>
      <c r="E211" s="1">
        <f>IF(B211="North",1,0)</f>
        <v>0</v>
      </c>
      <c r="F211" s="1" t="s">
        <v>16</v>
      </c>
      <c r="G211" s="1">
        <f>IF(F211="Residential",1,0)</f>
        <v>1</v>
      </c>
      <c r="H211" s="1">
        <f>IF(F211="High Street",1,0)</f>
        <v>0</v>
      </c>
      <c r="I211" s="1">
        <f>IF(F211="Mall",1,0)</f>
        <v>0</v>
      </c>
    </row>
    <row r="212" spans="1:9">
      <c r="A212" s="1" t="s">
        <v>25</v>
      </c>
      <c r="B212" s="1" t="s">
        <v>20</v>
      </c>
      <c r="C212" s="1">
        <f>IF(B212="East",1,0)</f>
        <v>0</v>
      </c>
      <c r="D212" s="1">
        <f>IF(B212="West",1,0)</f>
        <v>0</v>
      </c>
      <c r="E212" s="1">
        <f>IF(B212="North",1,0)</f>
        <v>1</v>
      </c>
      <c r="F212" s="1" t="s">
        <v>16</v>
      </c>
      <c r="G212" s="1">
        <f>IF(F212="Residential",1,0)</f>
        <v>1</v>
      </c>
      <c r="H212" s="1">
        <f>IF(F212="High Street",1,0)</f>
        <v>0</v>
      </c>
      <c r="I212" s="1">
        <f>IF(F212="Mall",1,0)</f>
        <v>0</v>
      </c>
    </row>
    <row r="213" spans="1:9">
      <c r="A213" s="1" t="s">
        <v>93</v>
      </c>
      <c r="B213" s="1" t="s">
        <v>27</v>
      </c>
      <c r="C213" s="1">
        <f>IF(B213="East",1,0)</f>
        <v>0</v>
      </c>
      <c r="D213" s="1">
        <f>IF(B213="West",1,0)</f>
        <v>1</v>
      </c>
      <c r="E213" s="1">
        <f>IF(B213="North",1,0)</f>
        <v>0</v>
      </c>
      <c r="F213" s="1" t="s">
        <v>16</v>
      </c>
      <c r="G213" s="1">
        <f>IF(F213="Residential",1,0)</f>
        <v>1</v>
      </c>
      <c r="H213" s="1">
        <f>IF(F213="High Street",1,0)</f>
        <v>0</v>
      </c>
      <c r="I213" s="1">
        <f>IF(F213="Mall",1,0)</f>
        <v>0</v>
      </c>
    </row>
    <row r="214" spans="1:9">
      <c r="A214" s="1" t="s">
        <v>88</v>
      </c>
      <c r="B214" s="1" t="s">
        <v>15</v>
      </c>
      <c r="C214" s="1">
        <f>IF(B214="East",1,0)</f>
        <v>1</v>
      </c>
      <c r="D214" s="1">
        <f>IF(B214="West",1,0)</f>
        <v>0</v>
      </c>
      <c r="E214" s="1">
        <f>IF(B214="North",1,0)</f>
        <v>0</v>
      </c>
      <c r="F214" s="1" t="s">
        <v>18</v>
      </c>
      <c r="G214" s="1">
        <f>IF(F214="Residential",1,0)</f>
        <v>0</v>
      </c>
      <c r="H214" s="1">
        <f>IF(F214="High Street",1,0)</f>
        <v>1</v>
      </c>
      <c r="I214" s="1">
        <f>IF(F214="Mall",1,0)</f>
        <v>0</v>
      </c>
    </row>
    <row r="215" spans="1:9">
      <c r="A215" s="1" t="s">
        <v>82</v>
      </c>
      <c r="B215" s="1" t="s">
        <v>24</v>
      </c>
      <c r="C215" s="1">
        <f>IF(B215="East",1,0)</f>
        <v>0</v>
      </c>
      <c r="D215" s="1">
        <f>IF(B215="West",1,0)</f>
        <v>0</v>
      </c>
      <c r="E215" s="1">
        <f>IF(B215="North",1,0)</f>
        <v>0</v>
      </c>
      <c r="F215" s="1" t="s">
        <v>21</v>
      </c>
      <c r="G215" s="1">
        <f>IF(F215="Residential",1,0)</f>
        <v>0</v>
      </c>
      <c r="H215" s="1">
        <f>IF(F215="High Street",1,0)</f>
        <v>0</v>
      </c>
      <c r="I215" s="1">
        <f>IF(F215="Mall",1,0)</f>
        <v>0</v>
      </c>
    </row>
    <row r="216" spans="1:9">
      <c r="A216" s="1" t="s">
        <v>80</v>
      </c>
      <c r="B216" s="1" t="s">
        <v>27</v>
      </c>
      <c r="C216" s="1">
        <f>IF(B216="East",1,0)</f>
        <v>0</v>
      </c>
      <c r="D216" s="1">
        <f>IF(B216="West",1,0)</f>
        <v>1</v>
      </c>
      <c r="E216" s="1">
        <f>IF(B216="North",1,0)</f>
        <v>0</v>
      </c>
      <c r="F216" s="1" t="s">
        <v>16</v>
      </c>
      <c r="G216" s="1">
        <f>IF(F216="Residential",1,0)</f>
        <v>1</v>
      </c>
      <c r="H216" s="1">
        <f>IF(F216="High Street",1,0)</f>
        <v>0</v>
      </c>
      <c r="I216" s="1">
        <f>IF(F216="Mall",1,0)</f>
        <v>0</v>
      </c>
    </row>
    <row r="217" spans="1:9">
      <c r="A217" s="1" t="s">
        <v>79</v>
      </c>
      <c r="B217" s="1" t="s">
        <v>15</v>
      </c>
      <c r="C217" s="1">
        <f>IF(B217="East",1,0)</f>
        <v>1</v>
      </c>
      <c r="D217" s="1">
        <f>IF(B217="West",1,0)</f>
        <v>0</v>
      </c>
      <c r="E217" s="1">
        <f>IF(B217="North",1,0)</f>
        <v>0</v>
      </c>
      <c r="F217" s="1" t="s">
        <v>18</v>
      </c>
      <c r="G217" s="1">
        <f>IF(F217="Residential",1,0)</f>
        <v>0</v>
      </c>
      <c r="H217" s="1">
        <f>IF(F217="High Street",1,0)</f>
        <v>1</v>
      </c>
      <c r="I217" s="1">
        <f>IF(F217="Mall",1,0)</f>
        <v>0</v>
      </c>
    </row>
    <row r="218" spans="1:9">
      <c r="A218" s="1" t="s">
        <v>68</v>
      </c>
      <c r="B218" s="1" t="s">
        <v>20</v>
      </c>
      <c r="C218" s="1">
        <f>IF(B218="East",1,0)</f>
        <v>0</v>
      </c>
      <c r="D218" s="1">
        <f>IF(B218="West",1,0)</f>
        <v>0</v>
      </c>
      <c r="E218" s="1">
        <f>IF(B218="North",1,0)</f>
        <v>1</v>
      </c>
      <c r="F218" s="1" t="s">
        <v>18</v>
      </c>
      <c r="G218" s="1">
        <f>IF(F218="Residential",1,0)</f>
        <v>0</v>
      </c>
      <c r="H218" s="1">
        <f>IF(F218="High Street",1,0)</f>
        <v>1</v>
      </c>
      <c r="I218" s="1">
        <f>IF(F218="Mall",1,0)</f>
        <v>0</v>
      </c>
    </row>
    <row r="219" spans="1:9">
      <c r="A219" s="1" t="s">
        <v>59</v>
      </c>
      <c r="B219" s="1" t="s">
        <v>24</v>
      </c>
      <c r="C219" s="1">
        <f>IF(B219="East",1,0)</f>
        <v>0</v>
      </c>
      <c r="D219" s="1">
        <f>IF(B219="West",1,0)</f>
        <v>0</v>
      </c>
      <c r="E219" s="1">
        <f>IF(B219="North",1,0)</f>
        <v>0</v>
      </c>
      <c r="F219" s="1" t="s">
        <v>28</v>
      </c>
      <c r="G219" s="1">
        <f>IF(F219="Residential",1,0)</f>
        <v>0</v>
      </c>
      <c r="H219" s="1">
        <f>IF(F219="High Street",1,0)</f>
        <v>0</v>
      </c>
      <c r="I219" s="1">
        <f>IF(F219="Mall",1,0)</f>
        <v>1</v>
      </c>
    </row>
    <row r="220" spans="1:9">
      <c r="A220" s="1" t="s">
        <v>84</v>
      </c>
      <c r="B220" s="1" t="s">
        <v>20</v>
      </c>
      <c r="C220" s="1">
        <f>IF(B220="East",1,0)</f>
        <v>0</v>
      </c>
      <c r="D220" s="1">
        <f>IF(B220="West",1,0)</f>
        <v>0</v>
      </c>
      <c r="E220" s="1">
        <f>IF(B220="North",1,0)</f>
        <v>1</v>
      </c>
      <c r="F220" s="1" t="s">
        <v>18</v>
      </c>
      <c r="G220" s="1">
        <f>IF(F220="Residential",1,0)</f>
        <v>0</v>
      </c>
      <c r="H220" s="1">
        <f>IF(F220="High Street",1,0)</f>
        <v>1</v>
      </c>
      <c r="I220" s="1">
        <f>IF(F220="Mall",1,0)</f>
        <v>0</v>
      </c>
    </row>
    <row r="221" spans="1:9">
      <c r="A221" s="1" t="s">
        <v>67</v>
      </c>
      <c r="B221" s="1" t="s">
        <v>27</v>
      </c>
      <c r="C221" s="1">
        <f>IF(B221="East",1,0)</f>
        <v>0</v>
      </c>
      <c r="D221" s="1">
        <f>IF(B221="West",1,0)</f>
        <v>1</v>
      </c>
      <c r="E221" s="1">
        <f>IF(B221="North",1,0)</f>
        <v>0</v>
      </c>
      <c r="F221" s="1" t="s">
        <v>16</v>
      </c>
      <c r="G221" s="1">
        <f>IF(F221="Residential",1,0)</f>
        <v>1</v>
      </c>
      <c r="H221" s="1">
        <f>IF(F221="High Street",1,0)</f>
        <v>0</v>
      </c>
      <c r="I221" s="1">
        <f>IF(F221="Mall",1,0)</f>
        <v>0</v>
      </c>
    </row>
    <row r="222" spans="1:9">
      <c r="A222" s="1" t="s">
        <v>46</v>
      </c>
      <c r="B222" s="1" t="s">
        <v>27</v>
      </c>
      <c r="C222" s="1">
        <f>IF(B222="East",1,0)</f>
        <v>0</v>
      </c>
      <c r="D222" s="1">
        <f>IF(B222="West",1,0)</f>
        <v>1</v>
      </c>
      <c r="E222" s="1">
        <f>IF(B222="North",1,0)</f>
        <v>0</v>
      </c>
      <c r="F222" s="1" t="s">
        <v>28</v>
      </c>
      <c r="G222" s="1">
        <f>IF(F222="Residential",1,0)</f>
        <v>0</v>
      </c>
      <c r="H222" s="1">
        <f>IF(F222="High Street",1,0)</f>
        <v>0</v>
      </c>
      <c r="I222" s="1">
        <f>IF(F222="Mall",1,0)</f>
        <v>1</v>
      </c>
    </row>
    <row r="223" spans="1:9">
      <c r="A223" s="1" t="s">
        <v>54</v>
      </c>
      <c r="B223" s="1" t="s">
        <v>15</v>
      </c>
      <c r="C223" s="1">
        <f>IF(B223="East",1,0)</f>
        <v>1</v>
      </c>
      <c r="D223" s="1">
        <f>IF(B223="West",1,0)</f>
        <v>0</v>
      </c>
      <c r="E223" s="1">
        <f>IF(B223="North",1,0)</f>
        <v>0</v>
      </c>
      <c r="F223" s="1" t="s">
        <v>18</v>
      </c>
      <c r="G223" s="1">
        <f>IF(F223="Residential",1,0)</f>
        <v>0</v>
      </c>
      <c r="H223" s="1">
        <f>IF(F223="High Street",1,0)</f>
        <v>1</v>
      </c>
      <c r="I223" s="1">
        <f>IF(F223="Mall",1,0)</f>
        <v>0</v>
      </c>
    </row>
    <row r="224" spans="1:9">
      <c r="A224" s="1" t="s">
        <v>57</v>
      </c>
      <c r="B224" s="1" t="s">
        <v>27</v>
      </c>
      <c r="C224" s="1">
        <f>IF(B224="East",1,0)</f>
        <v>0</v>
      </c>
      <c r="D224" s="1">
        <f>IF(B224="West",1,0)</f>
        <v>1</v>
      </c>
      <c r="E224" s="1">
        <f>IF(B224="North",1,0)</f>
        <v>0</v>
      </c>
      <c r="F224" s="1" t="s">
        <v>18</v>
      </c>
      <c r="G224" s="1">
        <f>IF(F224="Residential",1,0)</f>
        <v>0</v>
      </c>
      <c r="H224" s="1">
        <f>IF(F224="High Street",1,0)</f>
        <v>1</v>
      </c>
      <c r="I224" s="1">
        <f>IF(F224="Mall",1,0)</f>
        <v>0</v>
      </c>
    </row>
    <row r="225" spans="1:9">
      <c r="A225" s="1" t="s">
        <v>43</v>
      </c>
      <c r="B225" s="1" t="s">
        <v>27</v>
      </c>
      <c r="C225" s="1">
        <f>IF(B225="East",1,0)</f>
        <v>0</v>
      </c>
      <c r="D225" s="1">
        <f>IF(B225="West",1,0)</f>
        <v>1</v>
      </c>
      <c r="E225" s="1">
        <f>IF(B225="North",1,0)</f>
        <v>0</v>
      </c>
      <c r="F225" s="1" t="s">
        <v>18</v>
      </c>
      <c r="G225" s="1">
        <f>IF(F225="Residential",1,0)</f>
        <v>0</v>
      </c>
      <c r="H225" s="1">
        <f>IF(F225="High Street",1,0)</f>
        <v>1</v>
      </c>
      <c r="I225" s="1">
        <f>IF(F225="Mall",1,0)</f>
        <v>0</v>
      </c>
    </row>
    <row r="226" spans="1:9">
      <c r="A226" s="1" t="s">
        <v>86</v>
      </c>
      <c r="B226" s="1" t="s">
        <v>24</v>
      </c>
      <c r="C226" s="1">
        <f>IF(B226="East",1,0)</f>
        <v>0</v>
      </c>
      <c r="D226" s="1">
        <f>IF(B226="West",1,0)</f>
        <v>0</v>
      </c>
      <c r="E226" s="1">
        <f>IF(B226="North",1,0)</f>
        <v>0</v>
      </c>
      <c r="F226" s="1" t="s">
        <v>28</v>
      </c>
      <c r="G226" s="1">
        <f>IF(F226="Residential",1,0)</f>
        <v>0</v>
      </c>
      <c r="H226" s="1">
        <f>IF(F226="High Street",1,0)</f>
        <v>0</v>
      </c>
      <c r="I226" s="1">
        <f>IF(F226="Mall",1,0)</f>
        <v>1</v>
      </c>
    </row>
    <row r="227" spans="1:9">
      <c r="A227" s="1" t="s">
        <v>87</v>
      </c>
      <c r="B227" s="1" t="s">
        <v>27</v>
      </c>
      <c r="C227" s="1">
        <f>IF(B227="East",1,0)</f>
        <v>0</v>
      </c>
      <c r="D227" s="1">
        <f>IF(B227="West",1,0)</f>
        <v>1</v>
      </c>
      <c r="E227" s="1">
        <f>IF(B227="North",1,0)</f>
        <v>0</v>
      </c>
      <c r="F227" s="1" t="s">
        <v>18</v>
      </c>
      <c r="G227" s="1">
        <f>IF(F227="Residential",1,0)</f>
        <v>0</v>
      </c>
      <c r="H227" s="1">
        <f>IF(F227="High Street",1,0)</f>
        <v>1</v>
      </c>
      <c r="I227" s="1">
        <f>IF(F227="Mall",1,0)</f>
        <v>0</v>
      </c>
    </row>
    <row r="228" spans="1:9">
      <c r="A228" s="1" t="s">
        <v>99</v>
      </c>
      <c r="B228" s="1" t="s">
        <v>24</v>
      </c>
      <c r="C228" s="1">
        <f>IF(B228="East",1,0)</f>
        <v>0</v>
      </c>
      <c r="D228" s="1">
        <f>IF(B228="West",1,0)</f>
        <v>0</v>
      </c>
      <c r="E228" s="1">
        <f>IF(B228="North",1,0)</f>
        <v>0</v>
      </c>
      <c r="F228" s="1" t="s">
        <v>18</v>
      </c>
      <c r="G228" s="1">
        <f>IF(F228="Residential",1,0)</f>
        <v>0</v>
      </c>
      <c r="H228" s="1">
        <f>IF(F228="High Street",1,0)</f>
        <v>1</v>
      </c>
      <c r="I228" s="1">
        <f>IF(F228="Mall",1,0)</f>
        <v>0</v>
      </c>
    </row>
    <row r="229" spans="1:9">
      <c r="A229" s="1" t="s">
        <v>47</v>
      </c>
      <c r="B229" s="1" t="s">
        <v>15</v>
      </c>
      <c r="C229" s="1">
        <f>IF(B229="East",1,0)</f>
        <v>1</v>
      </c>
      <c r="D229" s="1">
        <f>IF(B229="West",1,0)</f>
        <v>0</v>
      </c>
      <c r="E229" s="1">
        <f>IF(B229="North",1,0)</f>
        <v>0</v>
      </c>
      <c r="F229" s="1" t="s">
        <v>28</v>
      </c>
      <c r="G229" s="1">
        <f>IF(F229="Residential",1,0)</f>
        <v>0</v>
      </c>
      <c r="H229" s="1">
        <f>IF(F229="High Street",1,0)</f>
        <v>0</v>
      </c>
      <c r="I229" s="1">
        <f>IF(F229="Mall",1,0)</f>
        <v>1</v>
      </c>
    </row>
    <row r="230" spans="1:9">
      <c r="A230" s="1" t="s">
        <v>33</v>
      </c>
      <c r="B230" s="1" t="s">
        <v>27</v>
      </c>
      <c r="C230" s="1">
        <f>IF(B230="East",1,0)</f>
        <v>0</v>
      </c>
      <c r="D230" s="1">
        <f>IF(B230="West",1,0)</f>
        <v>1</v>
      </c>
      <c r="E230" s="1">
        <f>IF(B230="North",1,0)</f>
        <v>0</v>
      </c>
      <c r="F230" s="1" t="s">
        <v>16</v>
      </c>
      <c r="G230" s="1">
        <f>IF(F230="Residential",1,0)</f>
        <v>1</v>
      </c>
      <c r="H230" s="1">
        <f>IF(F230="High Street",1,0)</f>
        <v>0</v>
      </c>
      <c r="I230" s="1">
        <f>IF(F230="Mall",1,0)</f>
        <v>0</v>
      </c>
    </row>
    <row r="231" spans="1:9">
      <c r="A231" s="1" t="s">
        <v>88</v>
      </c>
      <c r="B231" s="1" t="s">
        <v>15</v>
      </c>
      <c r="C231" s="1">
        <f>IF(B231="East",1,0)</f>
        <v>1</v>
      </c>
      <c r="D231" s="1">
        <f>IF(B231="West",1,0)</f>
        <v>0</v>
      </c>
      <c r="E231" s="1">
        <f>IF(B231="North",1,0)</f>
        <v>0</v>
      </c>
      <c r="F231" s="1" t="s">
        <v>18</v>
      </c>
      <c r="G231" s="1">
        <f>IF(F231="Residential",1,0)</f>
        <v>0</v>
      </c>
      <c r="H231" s="1">
        <f>IF(F231="High Street",1,0)</f>
        <v>1</v>
      </c>
      <c r="I231" s="1">
        <f>IF(F231="Mall",1,0)</f>
        <v>0</v>
      </c>
    </row>
    <row r="232" spans="1:9">
      <c r="A232" s="1" t="s">
        <v>57</v>
      </c>
      <c r="B232" s="1" t="s">
        <v>27</v>
      </c>
      <c r="C232" s="1">
        <f>IF(B232="East",1,0)</f>
        <v>0</v>
      </c>
      <c r="D232" s="1">
        <f>IF(B232="West",1,0)</f>
        <v>1</v>
      </c>
      <c r="E232" s="1">
        <f>IF(B232="North",1,0)</f>
        <v>0</v>
      </c>
      <c r="F232" s="1" t="s">
        <v>18</v>
      </c>
      <c r="G232" s="1">
        <f>IF(F232="Residential",1,0)</f>
        <v>0</v>
      </c>
      <c r="H232" s="1">
        <f>IF(F232="High Street",1,0)</f>
        <v>1</v>
      </c>
      <c r="I232" s="1">
        <f>IF(F232="Mall",1,0)</f>
        <v>0</v>
      </c>
    </row>
    <row r="233" spans="1:9">
      <c r="A233" s="1" t="s">
        <v>66</v>
      </c>
      <c r="B233" s="1" t="s">
        <v>27</v>
      </c>
      <c r="C233" s="1">
        <f>IF(B233="East",1,0)</f>
        <v>0</v>
      </c>
      <c r="D233" s="1">
        <f>IF(B233="West",1,0)</f>
        <v>1</v>
      </c>
      <c r="E233" s="1">
        <f>IF(B233="North",1,0)</f>
        <v>0</v>
      </c>
      <c r="F233" s="1" t="s">
        <v>21</v>
      </c>
      <c r="G233" s="1">
        <f>IF(F233="Residential",1,0)</f>
        <v>0</v>
      </c>
      <c r="H233" s="1">
        <f>IF(F233="High Street",1,0)</f>
        <v>0</v>
      </c>
      <c r="I233" s="1">
        <f>IF(F233="Mall",1,0)</f>
        <v>0</v>
      </c>
    </row>
    <row r="234" spans="1:9">
      <c r="A234" s="1" t="s">
        <v>49</v>
      </c>
      <c r="B234" s="1" t="s">
        <v>15</v>
      </c>
      <c r="C234" s="1">
        <f>IF(B234="East",1,0)</f>
        <v>1</v>
      </c>
      <c r="D234" s="1">
        <f>IF(B234="West",1,0)</f>
        <v>0</v>
      </c>
      <c r="E234" s="1">
        <f>IF(B234="North",1,0)</f>
        <v>0</v>
      </c>
      <c r="F234" s="1" t="s">
        <v>28</v>
      </c>
      <c r="G234" s="1">
        <f>IF(F234="Residential",1,0)</f>
        <v>0</v>
      </c>
      <c r="H234" s="1">
        <f>IF(F234="High Street",1,0)</f>
        <v>0</v>
      </c>
      <c r="I234" s="1">
        <f>IF(F234="Mall",1,0)</f>
        <v>1</v>
      </c>
    </row>
    <row r="235" spans="1:9">
      <c r="A235" s="1" t="s">
        <v>44</v>
      </c>
      <c r="B235" s="1" t="s">
        <v>24</v>
      </c>
      <c r="C235" s="1">
        <f>IF(B235="East",1,0)</f>
        <v>0</v>
      </c>
      <c r="D235" s="1">
        <f>IF(B235="West",1,0)</f>
        <v>0</v>
      </c>
      <c r="E235" s="1">
        <f>IF(B235="North",1,0)</f>
        <v>0</v>
      </c>
      <c r="F235" s="1" t="s">
        <v>28</v>
      </c>
      <c r="G235" s="1">
        <f>IF(F235="Residential",1,0)</f>
        <v>0</v>
      </c>
      <c r="H235" s="1">
        <f>IF(F235="High Street",1,0)</f>
        <v>0</v>
      </c>
      <c r="I235" s="1">
        <f>IF(F235="Mall",1,0)</f>
        <v>1</v>
      </c>
    </row>
    <row r="236" spans="1:9">
      <c r="A236" s="1" t="s">
        <v>75</v>
      </c>
      <c r="B236" s="1" t="s">
        <v>27</v>
      </c>
      <c r="C236" s="1">
        <f>IF(B236="East",1,0)</f>
        <v>0</v>
      </c>
      <c r="D236" s="1">
        <f>IF(B236="West",1,0)</f>
        <v>1</v>
      </c>
      <c r="E236" s="1">
        <f>IF(B236="North",1,0)</f>
        <v>0</v>
      </c>
      <c r="F236" s="1" t="s">
        <v>16</v>
      </c>
      <c r="G236" s="1">
        <f>IF(F236="Residential",1,0)</f>
        <v>1</v>
      </c>
      <c r="H236" s="1">
        <f>IF(F236="High Street",1,0)</f>
        <v>0</v>
      </c>
      <c r="I236" s="1">
        <f>IF(F236="Mall",1,0)</f>
        <v>0</v>
      </c>
    </row>
    <row r="237" spans="1:9">
      <c r="A237" s="1" t="s">
        <v>85</v>
      </c>
      <c r="B237" s="1" t="s">
        <v>24</v>
      </c>
      <c r="C237" s="1">
        <f>IF(B237="East",1,0)</f>
        <v>0</v>
      </c>
      <c r="D237" s="1">
        <f>IF(B237="West",1,0)</f>
        <v>0</v>
      </c>
      <c r="E237" s="1">
        <f>IF(B237="North",1,0)</f>
        <v>0</v>
      </c>
      <c r="F237" s="1" t="s">
        <v>21</v>
      </c>
      <c r="G237" s="1">
        <f>IF(F237="Residential",1,0)</f>
        <v>0</v>
      </c>
      <c r="H237" s="1">
        <f>IF(F237="High Street",1,0)</f>
        <v>0</v>
      </c>
      <c r="I237" s="1">
        <f>IF(F237="Mall",1,0)</f>
        <v>0</v>
      </c>
    </row>
    <row r="238" spans="1:9">
      <c r="A238" s="1" t="s">
        <v>92</v>
      </c>
      <c r="B238" s="1" t="s">
        <v>24</v>
      </c>
      <c r="C238" s="1">
        <f>IF(B238="East",1,0)</f>
        <v>0</v>
      </c>
      <c r="D238" s="1">
        <f>IF(B238="West",1,0)</f>
        <v>0</v>
      </c>
      <c r="E238" s="1">
        <f>IF(B238="North",1,0)</f>
        <v>0</v>
      </c>
      <c r="F238" s="1" t="s">
        <v>18</v>
      </c>
      <c r="G238" s="1">
        <f>IF(F238="Residential",1,0)</f>
        <v>0</v>
      </c>
      <c r="H238" s="1">
        <f>IF(F238="High Street",1,0)</f>
        <v>1</v>
      </c>
      <c r="I238" s="1">
        <f>IF(F238="Mall",1,0)</f>
        <v>0</v>
      </c>
    </row>
    <row r="239" spans="1:9">
      <c r="A239" s="1" t="s">
        <v>95</v>
      </c>
      <c r="B239" s="1" t="s">
        <v>27</v>
      </c>
      <c r="C239" s="1">
        <f>IF(B239="East",1,0)</f>
        <v>0</v>
      </c>
      <c r="D239" s="1">
        <f>IF(B239="West",1,0)</f>
        <v>1</v>
      </c>
      <c r="E239" s="1">
        <f>IF(B239="North",1,0)</f>
        <v>0</v>
      </c>
      <c r="F239" s="1" t="s">
        <v>18</v>
      </c>
      <c r="G239" s="1">
        <f>IF(F239="Residential",1,0)</f>
        <v>0</v>
      </c>
      <c r="H239" s="1">
        <f>IF(F239="High Street",1,0)</f>
        <v>1</v>
      </c>
      <c r="I239" s="1">
        <f>IF(F239="Mall",1,0)</f>
        <v>0</v>
      </c>
    </row>
    <row r="240" spans="1:9">
      <c r="A240" s="1" t="s">
        <v>80</v>
      </c>
      <c r="B240" s="1" t="s">
        <v>27</v>
      </c>
      <c r="C240" s="1">
        <f>IF(B240="East",1,0)</f>
        <v>0</v>
      </c>
      <c r="D240" s="1">
        <f>IF(B240="West",1,0)</f>
        <v>1</v>
      </c>
      <c r="E240" s="1">
        <f>IF(B240="North",1,0)</f>
        <v>0</v>
      </c>
      <c r="F240" s="1" t="s">
        <v>16</v>
      </c>
      <c r="G240" s="1">
        <f>IF(F240="Residential",1,0)</f>
        <v>1</v>
      </c>
      <c r="H240" s="1">
        <f>IF(F240="High Street",1,0)</f>
        <v>0</v>
      </c>
      <c r="I240" s="1">
        <f>IF(F240="Mall",1,0)</f>
        <v>0</v>
      </c>
    </row>
    <row r="241" spans="1:9">
      <c r="A241" s="1" t="s">
        <v>56</v>
      </c>
      <c r="B241" s="1" t="s">
        <v>24</v>
      </c>
      <c r="C241" s="1">
        <f>IF(B241="East",1,0)</f>
        <v>0</v>
      </c>
      <c r="D241" s="1">
        <f>IF(B241="West",1,0)</f>
        <v>0</v>
      </c>
      <c r="E241" s="1">
        <f>IF(B241="North",1,0)</f>
        <v>0</v>
      </c>
      <c r="F241" s="1" t="s">
        <v>16</v>
      </c>
      <c r="G241" s="1">
        <f>IF(F241="Residential",1,0)</f>
        <v>1</v>
      </c>
      <c r="H241" s="1">
        <f>IF(F241="High Street",1,0)</f>
        <v>0</v>
      </c>
      <c r="I241" s="1">
        <f>IF(F241="Mall",1,0)</f>
        <v>0</v>
      </c>
    </row>
    <row r="242" spans="1:9">
      <c r="A242" s="1" t="s">
        <v>59</v>
      </c>
      <c r="B242" s="1" t="s">
        <v>24</v>
      </c>
      <c r="C242" s="1">
        <f>IF(B242="East",1,0)</f>
        <v>0</v>
      </c>
      <c r="D242" s="1">
        <f>IF(B242="West",1,0)</f>
        <v>0</v>
      </c>
      <c r="E242" s="1">
        <f>IF(B242="North",1,0)</f>
        <v>0</v>
      </c>
      <c r="F242" s="1" t="s">
        <v>28</v>
      </c>
      <c r="G242" s="1">
        <f>IF(F242="Residential",1,0)</f>
        <v>0</v>
      </c>
      <c r="H242" s="1">
        <f>IF(F242="High Street",1,0)</f>
        <v>0</v>
      </c>
      <c r="I242" s="1">
        <f>IF(F242="Mall",1,0)</f>
        <v>1</v>
      </c>
    </row>
    <row r="243" spans="1:9">
      <c r="A243" s="1" t="s">
        <v>100</v>
      </c>
      <c r="B243" s="1" t="s">
        <v>20</v>
      </c>
      <c r="C243" s="1">
        <f>IF(B243="East",1,0)</f>
        <v>0</v>
      </c>
      <c r="D243" s="1">
        <f>IF(B243="West",1,0)</f>
        <v>0</v>
      </c>
      <c r="E243" s="1">
        <f>IF(B243="North",1,0)</f>
        <v>1</v>
      </c>
      <c r="F243" s="1" t="s">
        <v>16</v>
      </c>
      <c r="G243" s="1">
        <f>IF(F243="Residential",1,0)</f>
        <v>1</v>
      </c>
      <c r="H243" s="1">
        <f>IF(F243="High Street",1,0)</f>
        <v>0</v>
      </c>
      <c r="I243" s="1">
        <f>IF(F243="Mall",1,0)</f>
        <v>0</v>
      </c>
    </row>
    <row r="244" spans="1:9">
      <c r="A244" s="1" t="s">
        <v>76</v>
      </c>
      <c r="B244" s="1" t="s">
        <v>20</v>
      </c>
      <c r="C244" s="1">
        <f>IF(B244="East",1,0)</f>
        <v>0</v>
      </c>
      <c r="D244" s="1">
        <f>IF(B244="West",1,0)</f>
        <v>0</v>
      </c>
      <c r="E244" s="1">
        <f>IF(B244="North",1,0)</f>
        <v>1</v>
      </c>
      <c r="F244" s="1" t="s">
        <v>21</v>
      </c>
      <c r="G244" s="1">
        <f>IF(F244="Residential",1,0)</f>
        <v>0</v>
      </c>
      <c r="H244" s="1">
        <f>IF(F244="High Street",1,0)</f>
        <v>0</v>
      </c>
      <c r="I244" s="1">
        <f>IF(F244="Mall",1,0)</f>
        <v>0</v>
      </c>
    </row>
    <row r="245" spans="1:9">
      <c r="A245" s="1" t="s">
        <v>44</v>
      </c>
      <c r="B245" s="1" t="s">
        <v>24</v>
      </c>
      <c r="C245" s="1">
        <f>IF(B245="East",1,0)</f>
        <v>0</v>
      </c>
      <c r="D245" s="1">
        <f>IF(B245="West",1,0)</f>
        <v>0</v>
      </c>
      <c r="E245" s="1">
        <f>IF(B245="North",1,0)</f>
        <v>0</v>
      </c>
      <c r="F245" s="1" t="s">
        <v>28</v>
      </c>
      <c r="G245" s="1">
        <f>IF(F245="Residential",1,0)</f>
        <v>0</v>
      </c>
      <c r="H245" s="1">
        <f>IF(F245="High Street",1,0)</f>
        <v>0</v>
      </c>
      <c r="I245" s="1">
        <f>IF(F245="Mall",1,0)</f>
        <v>1</v>
      </c>
    </row>
    <row r="246" spans="1:9">
      <c r="A246" s="1" t="s">
        <v>88</v>
      </c>
      <c r="B246" s="1" t="s">
        <v>15</v>
      </c>
      <c r="C246" s="1">
        <f>IF(B246="East",1,0)</f>
        <v>1</v>
      </c>
      <c r="D246" s="1">
        <f>IF(B246="West",1,0)</f>
        <v>0</v>
      </c>
      <c r="E246" s="1">
        <f>IF(B246="North",1,0)</f>
        <v>0</v>
      </c>
      <c r="F246" s="1" t="s">
        <v>18</v>
      </c>
      <c r="G246" s="1">
        <f>IF(F246="Residential",1,0)</f>
        <v>0</v>
      </c>
      <c r="H246" s="1">
        <f>IF(F246="High Street",1,0)</f>
        <v>1</v>
      </c>
      <c r="I246" s="1">
        <f>IF(F246="Mall",1,0)</f>
        <v>0</v>
      </c>
    </row>
    <row r="247" spans="1:9">
      <c r="A247" s="1" t="s">
        <v>94</v>
      </c>
      <c r="B247" s="1" t="s">
        <v>15</v>
      </c>
      <c r="C247" s="1">
        <f>IF(B247="East",1,0)</f>
        <v>1</v>
      </c>
      <c r="D247" s="1">
        <f>IF(B247="West",1,0)</f>
        <v>0</v>
      </c>
      <c r="E247" s="1">
        <f>IF(B247="North",1,0)</f>
        <v>0</v>
      </c>
      <c r="F247" s="1" t="s">
        <v>16</v>
      </c>
      <c r="G247" s="1">
        <f>IF(F247="Residential",1,0)</f>
        <v>1</v>
      </c>
      <c r="H247" s="1">
        <f>IF(F247="High Street",1,0)</f>
        <v>0</v>
      </c>
      <c r="I247" s="1">
        <f>IF(F247="Mall",1,0)</f>
        <v>0</v>
      </c>
    </row>
    <row r="248" spans="1:9">
      <c r="A248" s="1" t="s">
        <v>39</v>
      </c>
      <c r="B248" s="1" t="s">
        <v>15</v>
      </c>
      <c r="C248" s="1">
        <f>IF(B248="East",1,0)</f>
        <v>1</v>
      </c>
      <c r="D248" s="1">
        <f>IF(B248="West",1,0)</f>
        <v>0</v>
      </c>
      <c r="E248" s="1">
        <f>IF(B248="North",1,0)</f>
        <v>0</v>
      </c>
      <c r="F248" s="1" t="s">
        <v>18</v>
      </c>
      <c r="G248" s="1">
        <f>IF(F248="Residential",1,0)</f>
        <v>0</v>
      </c>
      <c r="H248" s="1">
        <f>IF(F248="High Street",1,0)</f>
        <v>1</v>
      </c>
      <c r="I248" s="1">
        <f>IF(F248="Mall",1,0)</f>
        <v>0</v>
      </c>
    </row>
    <row r="249" spans="1:9">
      <c r="A249" s="1" t="s">
        <v>34</v>
      </c>
      <c r="B249" s="1" t="s">
        <v>20</v>
      </c>
      <c r="C249" s="1">
        <f>IF(B249="East",1,0)</f>
        <v>0</v>
      </c>
      <c r="D249" s="1">
        <f>IF(B249="West",1,0)</f>
        <v>0</v>
      </c>
      <c r="E249" s="1">
        <f>IF(B249="North",1,0)</f>
        <v>1</v>
      </c>
      <c r="F249" s="1" t="s">
        <v>28</v>
      </c>
      <c r="G249" s="1">
        <f>IF(F249="Residential",1,0)</f>
        <v>0</v>
      </c>
      <c r="H249" s="1">
        <f>IF(F249="High Street",1,0)</f>
        <v>0</v>
      </c>
      <c r="I249" s="1">
        <f>IF(F249="Mall",1,0)</f>
        <v>1</v>
      </c>
    </row>
    <row r="250" spans="1:9">
      <c r="A250" s="1" t="s">
        <v>100</v>
      </c>
      <c r="B250" s="1" t="s">
        <v>20</v>
      </c>
      <c r="C250" s="1">
        <f>IF(B250="East",1,0)</f>
        <v>0</v>
      </c>
      <c r="D250" s="1">
        <f>IF(B250="West",1,0)</f>
        <v>0</v>
      </c>
      <c r="E250" s="1">
        <f>IF(B250="North",1,0)</f>
        <v>1</v>
      </c>
      <c r="F250" s="1" t="s">
        <v>16</v>
      </c>
      <c r="G250" s="1">
        <f>IF(F250="Residential",1,0)</f>
        <v>1</v>
      </c>
      <c r="H250" s="1">
        <f>IF(F250="High Street",1,0)</f>
        <v>0</v>
      </c>
      <c r="I250" s="1">
        <f>IF(F250="Mall",1,0)</f>
        <v>0</v>
      </c>
    </row>
    <row r="251" spans="1:9">
      <c r="A251" s="1" t="s">
        <v>89</v>
      </c>
      <c r="B251" s="1" t="s">
        <v>15</v>
      </c>
      <c r="C251" s="1">
        <f>IF(B251="East",1,0)</f>
        <v>1</v>
      </c>
      <c r="D251" s="1">
        <f>IF(B251="West",1,0)</f>
        <v>0</v>
      </c>
      <c r="E251" s="1">
        <f>IF(B251="North",1,0)</f>
        <v>0</v>
      </c>
      <c r="F251" s="1" t="s">
        <v>28</v>
      </c>
      <c r="G251" s="1">
        <f>IF(F251="Residential",1,0)</f>
        <v>0</v>
      </c>
      <c r="H251" s="1">
        <f>IF(F251="High Street",1,0)</f>
        <v>0</v>
      </c>
      <c r="I251" s="1">
        <f>IF(F251="Mall",1,0)</f>
        <v>1</v>
      </c>
    </row>
    <row r="252" spans="1:9">
      <c r="A252" s="1" t="s">
        <v>100</v>
      </c>
      <c r="B252" s="1" t="s">
        <v>20</v>
      </c>
      <c r="C252" s="1">
        <f>IF(B252="East",1,0)</f>
        <v>0</v>
      </c>
      <c r="D252" s="1">
        <f>IF(B252="West",1,0)</f>
        <v>0</v>
      </c>
      <c r="E252" s="1">
        <f>IF(B252="North",1,0)</f>
        <v>1</v>
      </c>
      <c r="F252" s="1" t="s">
        <v>16</v>
      </c>
      <c r="G252" s="1">
        <f>IF(F252="Residential",1,0)</f>
        <v>1</v>
      </c>
      <c r="H252" s="1">
        <f>IF(F252="High Street",1,0)</f>
        <v>0</v>
      </c>
      <c r="I252" s="1">
        <f>IF(F252="Mall",1,0)</f>
        <v>0</v>
      </c>
    </row>
    <row r="253" spans="1:9">
      <c r="A253" s="1" t="s">
        <v>52</v>
      </c>
      <c r="B253" s="1" t="s">
        <v>20</v>
      </c>
      <c r="C253" s="1">
        <f>IF(B253="East",1,0)</f>
        <v>0</v>
      </c>
      <c r="D253" s="1">
        <f>IF(B253="West",1,0)</f>
        <v>0</v>
      </c>
      <c r="E253" s="1">
        <f>IF(B253="North",1,0)</f>
        <v>1</v>
      </c>
      <c r="F253" s="1" t="s">
        <v>18</v>
      </c>
      <c r="G253" s="1">
        <f>IF(F253="Residential",1,0)</f>
        <v>0</v>
      </c>
      <c r="H253" s="1">
        <f>IF(F253="High Street",1,0)</f>
        <v>1</v>
      </c>
      <c r="I253" s="1">
        <f>IF(F253="Mall",1,0)</f>
        <v>0</v>
      </c>
    </row>
    <row r="254" spans="1:9">
      <c r="A254" s="1" t="s">
        <v>25</v>
      </c>
      <c r="B254" s="1" t="s">
        <v>20</v>
      </c>
      <c r="C254" s="1">
        <f>IF(B254="East",1,0)</f>
        <v>0</v>
      </c>
      <c r="D254" s="1">
        <f>IF(B254="West",1,0)</f>
        <v>0</v>
      </c>
      <c r="E254" s="1">
        <f>IF(B254="North",1,0)</f>
        <v>1</v>
      </c>
      <c r="F254" s="1" t="s">
        <v>16</v>
      </c>
      <c r="G254" s="1">
        <f>IF(F254="Residential",1,0)</f>
        <v>1</v>
      </c>
      <c r="H254" s="1">
        <f>IF(F254="High Street",1,0)</f>
        <v>0</v>
      </c>
      <c r="I254" s="1">
        <f>IF(F254="Mall",1,0)</f>
        <v>0</v>
      </c>
    </row>
    <row r="255" spans="1:9">
      <c r="A255" s="1" t="s">
        <v>47</v>
      </c>
      <c r="B255" s="1" t="s">
        <v>15</v>
      </c>
      <c r="C255" s="1">
        <f>IF(B255="East",1,0)</f>
        <v>1</v>
      </c>
      <c r="D255" s="1">
        <f>IF(B255="West",1,0)</f>
        <v>0</v>
      </c>
      <c r="E255" s="1">
        <f>IF(B255="North",1,0)</f>
        <v>0</v>
      </c>
      <c r="F255" s="1" t="s">
        <v>28</v>
      </c>
      <c r="G255" s="1">
        <f>IF(F255="Residential",1,0)</f>
        <v>0</v>
      </c>
      <c r="H255" s="1">
        <f>IF(F255="High Street",1,0)</f>
        <v>0</v>
      </c>
      <c r="I255" s="1">
        <f>IF(F255="Mall",1,0)</f>
        <v>1</v>
      </c>
    </row>
    <row r="256" spans="1:9">
      <c r="A256" s="1" t="s">
        <v>50</v>
      </c>
      <c r="B256" s="1" t="s">
        <v>27</v>
      </c>
      <c r="C256" s="1">
        <f>IF(B256="East",1,0)</f>
        <v>0</v>
      </c>
      <c r="D256" s="1">
        <f>IF(B256="West",1,0)</f>
        <v>1</v>
      </c>
      <c r="E256" s="1">
        <f>IF(B256="North",1,0)</f>
        <v>0</v>
      </c>
      <c r="F256" s="1" t="s">
        <v>28</v>
      </c>
      <c r="G256" s="1">
        <f>IF(F256="Residential",1,0)</f>
        <v>0</v>
      </c>
      <c r="H256" s="1">
        <f>IF(F256="High Street",1,0)</f>
        <v>0</v>
      </c>
      <c r="I256" s="1">
        <f>IF(F256="Mall",1,0)</f>
        <v>1</v>
      </c>
    </row>
    <row r="257" spans="1:9">
      <c r="A257" s="1" t="s">
        <v>48</v>
      </c>
      <c r="B257" s="1" t="s">
        <v>27</v>
      </c>
      <c r="C257" s="1">
        <f>IF(B257="East",1,0)</f>
        <v>0</v>
      </c>
      <c r="D257" s="1">
        <f>IF(B257="West",1,0)</f>
        <v>1</v>
      </c>
      <c r="E257" s="1">
        <f>IF(B257="North",1,0)</f>
        <v>0</v>
      </c>
      <c r="F257" s="1" t="s">
        <v>18</v>
      </c>
      <c r="G257" s="1">
        <f>IF(F257="Residential",1,0)</f>
        <v>0</v>
      </c>
      <c r="H257" s="1">
        <f>IF(F257="High Street",1,0)</f>
        <v>1</v>
      </c>
      <c r="I257" s="1">
        <f>IF(F257="Mall",1,0)</f>
        <v>0</v>
      </c>
    </row>
    <row r="258" spans="1:9">
      <c r="A258" s="1" t="s">
        <v>50</v>
      </c>
      <c r="B258" s="1" t="s">
        <v>27</v>
      </c>
      <c r="C258" s="1">
        <f>IF(B258="East",1,0)</f>
        <v>0</v>
      </c>
      <c r="D258" s="1">
        <f>IF(B258="West",1,0)</f>
        <v>1</v>
      </c>
      <c r="E258" s="1">
        <f>IF(B258="North",1,0)</f>
        <v>0</v>
      </c>
      <c r="F258" s="1" t="s">
        <v>28</v>
      </c>
      <c r="G258" s="1">
        <f>IF(F258="Residential",1,0)</f>
        <v>0</v>
      </c>
      <c r="H258" s="1">
        <f>IF(F258="High Street",1,0)</f>
        <v>0</v>
      </c>
      <c r="I258" s="1">
        <f>IF(F258="Mall",1,0)</f>
        <v>1</v>
      </c>
    </row>
    <row r="259" spans="1:9">
      <c r="A259" s="1" t="s">
        <v>69</v>
      </c>
      <c r="B259" s="1" t="s">
        <v>15</v>
      </c>
      <c r="C259" s="1">
        <f>IF(B259="East",1,0)</f>
        <v>1</v>
      </c>
      <c r="D259" s="1">
        <f>IF(B259="West",1,0)</f>
        <v>0</v>
      </c>
      <c r="E259" s="1">
        <f>IF(B259="North",1,0)</f>
        <v>0</v>
      </c>
      <c r="F259" s="1" t="s">
        <v>18</v>
      </c>
      <c r="G259" s="1">
        <f>IF(F259="Residential",1,0)</f>
        <v>0</v>
      </c>
      <c r="H259" s="1">
        <f>IF(F259="High Street",1,0)</f>
        <v>1</v>
      </c>
      <c r="I259" s="1">
        <f>IF(F259="Mall",1,0)</f>
        <v>0</v>
      </c>
    </row>
    <row r="260" spans="1:9">
      <c r="A260" s="1" t="s">
        <v>90</v>
      </c>
      <c r="B260" s="1" t="s">
        <v>27</v>
      </c>
      <c r="C260" s="1">
        <f>IF(B260="East",1,0)</f>
        <v>0</v>
      </c>
      <c r="D260" s="1">
        <f>IF(B260="West",1,0)</f>
        <v>1</v>
      </c>
      <c r="E260" s="1">
        <f>IF(B260="North",1,0)</f>
        <v>0</v>
      </c>
      <c r="F260" s="1" t="s">
        <v>18</v>
      </c>
      <c r="G260" s="1">
        <f>IF(F260="Residential",1,0)</f>
        <v>0</v>
      </c>
      <c r="H260" s="1">
        <f>IF(F260="High Street",1,0)</f>
        <v>1</v>
      </c>
      <c r="I260" s="1">
        <f>IF(F260="Mall",1,0)</f>
        <v>0</v>
      </c>
    </row>
    <row r="261" spans="1:9">
      <c r="A261" s="1" t="s">
        <v>35</v>
      </c>
      <c r="B261" s="1" t="s">
        <v>27</v>
      </c>
      <c r="C261" s="1">
        <f>IF(B261="East",1,0)</f>
        <v>0</v>
      </c>
      <c r="D261" s="1">
        <f>IF(B261="West",1,0)</f>
        <v>1</v>
      </c>
      <c r="E261" s="1">
        <f>IF(B261="North",1,0)</f>
        <v>0</v>
      </c>
      <c r="F261" s="1" t="s">
        <v>18</v>
      </c>
      <c r="G261" s="1">
        <f>IF(F261="Residential",1,0)</f>
        <v>0</v>
      </c>
      <c r="H261" s="1">
        <f>IF(F261="High Street",1,0)</f>
        <v>1</v>
      </c>
      <c r="I261" s="1">
        <f>IF(F261="Mall",1,0)</f>
        <v>0</v>
      </c>
    </row>
    <row r="262" spans="1:9">
      <c r="A262" s="1" t="s">
        <v>22</v>
      </c>
      <c r="B262" s="1" t="s">
        <v>15</v>
      </c>
      <c r="C262" s="1">
        <f>IF(B262="East",1,0)</f>
        <v>1</v>
      </c>
      <c r="D262" s="1">
        <f>IF(B262="West",1,0)</f>
        <v>0</v>
      </c>
      <c r="E262" s="1">
        <f>IF(B262="North",1,0)</f>
        <v>0</v>
      </c>
      <c r="F262" s="1" t="s">
        <v>16</v>
      </c>
      <c r="G262" s="1">
        <f>IF(F262="Residential",1,0)</f>
        <v>1</v>
      </c>
      <c r="H262" s="1">
        <f>IF(F262="High Street",1,0)</f>
        <v>0</v>
      </c>
      <c r="I262" s="1">
        <f>IF(F262="Mall",1,0)</f>
        <v>0</v>
      </c>
    </row>
    <row r="263" spans="1:9">
      <c r="A263" s="1" t="s">
        <v>44</v>
      </c>
      <c r="B263" s="1" t="s">
        <v>24</v>
      </c>
      <c r="C263" s="1">
        <f>IF(B263="East",1,0)</f>
        <v>0</v>
      </c>
      <c r="D263" s="1">
        <f>IF(B263="West",1,0)</f>
        <v>0</v>
      </c>
      <c r="E263" s="1">
        <f>IF(B263="North",1,0)</f>
        <v>0</v>
      </c>
      <c r="F263" s="1" t="s">
        <v>28</v>
      </c>
      <c r="G263" s="1">
        <f>IF(F263="Residential",1,0)</f>
        <v>0</v>
      </c>
      <c r="H263" s="1">
        <f>IF(F263="High Street",1,0)</f>
        <v>0</v>
      </c>
      <c r="I263" s="1">
        <f>IF(F263="Mall",1,0)</f>
        <v>1</v>
      </c>
    </row>
    <row r="264" spans="1:9">
      <c r="A264" s="1" t="s">
        <v>63</v>
      </c>
      <c r="B264" s="1" t="s">
        <v>20</v>
      </c>
      <c r="C264" s="1">
        <f>IF(B264="East",1,0)</f>
        <v>0</v>
      </c>
      <c r="D264" s="1">
        <f>IF(B264="West",1,0)</f>
        <v>0</v>
      </c>
      <c r="E264" s="1">
        <f>IF(B264="North",1,0)</f>
        <v>1</v>
      </c>
      <c r="F264" s="1" t="s">
        <v>28</v>
      </c>
      <c r="G264" s="1">
        <f>IF(F264="Residential",1,0)</f>
        <v>0</v>
      </c>
      <c r="H264" s="1">
        <f>IF(F264="High Street",1,0)</f>
        <v>0</v>
      </c>
      <c r="I264" s="1">
        <f>IF(F264="Mall",1,0)</f>
        <v>1</v>
      </c>
    </row>
    <row r="265" spans="1:9">
      <c r="A265" s="1" t="s">
        <v>41</v>
      </c>
      <c r="B265" s="1" t="s">
        <v>24</v>
      </c>
      <c r="C265" s="1">
        <f>IF(B265="East",1,0)</f>
        <v>0</v>
      </c>
      <c r="D265" s="1">
        <f>IF(B265="West",1,0)</f>
        <v>0</v>
      </c>
      <c r="E265" s="1">
        <f>IF(B265="North",1,0)</f>
        <v>0</v>
      </c>
      <c r="F265" s="1" t="s">
        <v>18</v>
      </c>
      <c r="G265" s="1">
        <f>IF(F265="Residential",1,0)</f>
        <v>0</v>
      </c>
      <c r="H265" s="1">
        <f>IF(F265="High Street",1,0)</f>
        <v>1</v>
      </c>
      <c r="I265" s="1">
        <f>IF(F265="Mall",1,0)</f>
        <v>0</v>
      </c>
    </row>
    <row r="266" spans="1:9">
      <c r="A266" s="1" t="s">
        <v>64</v>
      </c>
      <c r="B266" s="1" t="s">
        <v>15</v>
      </c>
      <c r="C266" s="1">
        <f>IF(B266="East",1,0)</f>
        <v>1</v>
      </c>
      <c r="D266" s="1">
        <f>IF(B266="West",1,0)</f>
        <v>0</v>
      </c>
      <c r="E266" s="1">
        <f>IF(B266="North",1,0)</f>
        <v>0</v>
      </c>
      <c r="F266" s="1" t="s">
        <v>16</v>
      </c>
      <c r="G266" s="1">
        <f>IF(F266="Residential",1,0)</f>
        <v>1</v>
      </c>
      <c r="H266" s="1">
        <f>IF(F266="High Street",1,0)</f>
        <v>0</v>
      </c>
      <c r="I266" s="1">
        <f>IF(F266="Mall",1,0)</f>
        <v>0</v>
      </c>
    </row>
    <row r="267" spans="1:9">
      <c r="A267" s="1" t="s">
        <v>33</v>
      </c>
      <c r="B267" s="1" t="s">
        <v>27</v>
      </c>
      <c r="C267" s="1">
        <f>IF(B267="East",1,0)</f>
        <v>0</v>
      </c>
      <c r="D267" s="1">
        <f>IF(B267="West",1,0)</f>
        <v>1</v>
      </c>
      <c r="E267" s="1">
        <f>IF(B267="North",1,0)</f>
        <v>0</v>
      </c>
      <c r="F267" s="1" t="s">
        <v>16</v>
      </c>
      <c r="G267" s="1">
        <f>IF(F267="Residential",1,0)</f>
        <v>1</v>
      </c>
      <c r="H267" s="1">
        <f>IF(F267="High Street",1,0)</f>
        <v>0</v>
      </c>
      <c r="I267" s="1">
        <f>IF(F267="Mall",1,0)</f>
        <v>0</v>
      </c>
    </row>
    <row r="268" spans="1:9">
      <c r="A268" s="1" t="s">
        <v>56</v>
      </c>
      <c r="B268" s="1" t="s">
        <v>24</v>
      </c>
      <c r="C268" s="1">
        <f>IF(B268="East",1,0)</f>
        <v>0</v>
      </c>
      <c r="D268" s="1">
        <f>IF(B268="West",1,0)</f>
        <v>0</v>
      </c>
      <c r="E268" s="1">
        <f>IF(B268="North",1,0)</f>
        <v>0</v>
      </c>
      <c r="F268" s="1" t="s">
        <v>16</v>
      </c>
      <c r="G268" s="1">
        <f>IF(F268="Residential",1,0)</f>
        <v>1</v>
      </c>
      <c r="H268" s="1">
        <f>IF(F268="High Street",1,0)</f>
        <v>0</v>
      </c>
      <c r="I268" s="1">
        <f>IF(F268="Mall",1,0)</f>
        <v>0</v>
      </c>
    </row>
    <row r="269" spans="1:9">
      <c r="A269" s="1" t="s">
        <v>73</v>
      </c>
      <c r="B269" s="1" t="s">
        <v>15</v>
      </c>
      <c r="C269" s="1">
        <f>IF(B269="East",1,0)</f>
        <v>1</v>
      </c>
      <c r="D269" s="1">
        <f>IF(B269="West",1,0)</f>
        <v>0</v>
      </c>
      <c r="E269" s="1">
        <f>IF(B269="North",1,0)</f>
        <v>0</v>
      </c>
      <c r="F269" s="1" t="s">
        <v>28</v>
      </c>
      <c r="G269" s="1">
        <f>IF(F269="Residential",1,0)</f>
        <v>0</v>
      </c>
      <c r="H269" s="1">
        <f>IF(F269="High Street",1,0)</f>
        <v>0</v>
      </c>
      <c r="I269" s="1">
        <f>IF(F269="Mall",1,0)</f>
        <v>1</v>
      </c>
    </row>
    <row r="270" spans="1:9">
      <c r="A270" s="1" t="s">
        <v>57</v>
      </c>
      <c r="B270" s="1" t="s">
        <v>27</v>
      </c>
      <c r="C270" s="1">
        <f>IF(B270="East",1,0)</f>
        <v>0</v>
      </c>
      <c r="D270" s="1">
        <f>IF(B270="West",1,0)</f>
        <v>1</v>
      </c>
      <c r="E270" s="1">
        <f>IF(B270="North",1,0)</f>
        <v>0</v>
      </c>
      <c r="F270" s="1" t="s">
        <v>18</v>
      </c>
      <c r="G270" s="1">
        <f>IF(F270="Residential",1,0)</f>
        <v>0</v>
      </c>
      <c r="H270" s="1">
        <f>IF(F270="High Street",1,0)</f>
        <v>1</v>
      </c>
      <c r="I270" s="1">
        <f>IF(F270="Mall",1,0)</f>
        <v>0</v>
      </c>
    </row>
    <row r="271" spans="1:9">
      <c r="A271" s="1" t="s">
        <v>61</v>
      </c>
      <c r="B271" s="1" t="s">
        <v>20</v>
      </c>
      <c r="C271" s="1">
        <f>IF(B271="East",1,0)</f>
        <v>0</v>
      </c>
      <c r="D271" s="1">
        <f>IF(B271="West",1,0)</f>
        <v>0</v>
      </c>
      <c r="E271" s="1">
        <f>IF(B271="North",1,0)</f>
        <v>1</v>
      </c>
      <c r="F271" s="1" t="s">
        <v>28</v>
      </c>
      <c r="G271" s="1">
        <f>IF(F271="Residential",1,0)</f>
        <v>0</v>
      </c>
      <c r="H271" s="1">
        <f>IF(F271="High Street",1,0)</f>
        <v>0</v>
      </c>
      <c r="I271" s="1">
        <f>IF(F271="Mall",1,0)</f>
        <v>1</v>
      </c>
    </row>
    <row r="272" spans="1:9">
      <c r="A272" s="1" t="s">
        <v>31</v>
      </c>
      <c r="B272" s="1" t="s">
        <v>20</v>
      </c>
      <c r="C272" s="1">
        <f>IF(B272="East",1,0)</f>
        <v>0</v>
      </c>
      <c r="D272" s="1">
        <f>IF(B272="West",1,0)</f>
        <v>0</v>
      </c>
      <c r="E272" s="1">
        <f>IF(B272="North",1,0)</f>
        <v>1</v>
      </c>
      <c r="F272" s="1" t="s">
        <v>28</v>
      </c>
      <c r="G272" s="1">
        <f>IF(F272="Residential",1,0)</f>
        <v>0</v>
      </c>
      <c r="H272" s="1">
        <f>IF(F272="High Street",1,0)</f>
        <v>0</v>
      </c>
      <c r="I272" s="1">
        <f>IF(F272="Mall",1,0)</f>
        <v>1</v>
      </c>
    </row>
    <row r="273" spans="1:9">
      <c r="A273" s="1" t="s">
        <v>19</v>
      </c>
      <c r="B273" s="1" t="s">
        <v>20</v>
      </c>
      <c r="C273" s="1">
        <f>IF(B273="East",1,0)</f>
        <v>0</v>
      </c>
      <c r="D273" s="1">
        <f>IF(B273="West",1,0)</f>
        <v>0</v>
      </c>
      <c r="E273" s="1">
        <f>IF(B273="North",1,0)</f>
        <v>1</v>
      </c>
      <c r="F273" s="1" t="s">
        <v>21</v>
      </c>
      <c r="G273" s="1">
        <f>IF(F273="Residential",1,0)</f>
        <v>0</v>
      </c>
      <c r="H273" s="1">
        <f>IF(F273="High Street",1,0)</f>
        <v>0</v>
      </c>
      <c r="I273" s="1">
        <f>IF(F273="Mall",1,0)</f>
        <v>0</v>
      </c>
    </row>
    <row r="274" spans="1:9">
      <c r="A274" s="1" t="s">
        <v>57</v>
      </c>
      <c r="B274" s="1" t="s">
        <v>27</v>
      </c>
      <c r="C274" s="1">
        <f>IF(B274="East",1,0)</f>
        <v>0</v>
      </c>
      <c r="D274" s="1">
        <f>IF(B274="West",1,0)</f>
        <v>1</v>
      </c>
      <c r="E274" s="1">
        <f>IF(B274="North",1,0)</f>
        <v>0</v>
      </c>
      <c r="F274" s="1" t="s">
        <v>18</v>
      </c>
      <c r="G274" s="1">
        <f>IF(F274="Residential",1,0)</f>
        <v>0</v>
      </c>
      <c r="H274" s="1">
        <f>IF(F274="High Street",1,0)</f>
        <v>1</v>
      </c>
      <c r="I274" s="1">
        <f>IF(F274="Mall",1,0)</f>
        <v>0</v>
      </c>
    </row>
    <row r="275" spans="1:9">
      <c r="A275" s="1" t="s">
        <v>35</v>
      </c>
      <c r="B275" s="1" t="s">
        <v>27</v>
      </c>
      <c r="C275" s="1">
        <f>IF(B275="East",1,0)</f>
        <v>0</v>
      </c>
      <c r="D275" s="1">
        <f>IF(B275="West",1,0)</f>
        <v>1</v>
      </c>
      <c r="E275" s="1">
        <f>IF(B275="North",1,0)</f>
        <v>0</v>
      </c>
      <c r="F275" s="1" t="s">
        <v>18</v>
      </c>
      <c r="G275" s="1">
        <f>IF(F275="Residential",1,0)</f>
        <v>0</v>
      </c>
      <c r="H275" s="1">
        <f>IF(F275="High Street",1,0)</f>
        <v>1</v>
      </c>
      <c r="I275" s="1">
        <f>IF(F275="Mall",1,0)</f>
        <v>0</v>
      </c>
    </row>
    <row r="276" spans="1:9">
      <c r="A276" s="1" t="s">
        <v>98</v>
      </c>
      <c r="B276" s="1" t="s">
        <v>24</v>
      </c>
      <c r="C276" s="1">
        <f>IF(B276="East",1,0)</f>
        <v>0</v>
      </c>
      <c r="D276" s="1">
        <f>IF(B276="West",1,0)</f>
        <v>0</v>
      </c>
      <c r="E276" s="1">
        <f>IF(B276="North",1,0)</f>
        <v>0</v>
      </c>
      <c r="F276" s="1" t="s">
        <v>16</v>
      </c>
      <c r="G276" s="1">
        <f>IF(F276="Residential",1,0)</f>
        <v>1</v>
      </c>
      <c r="H276" s="1">
        <f>IF(F276="High Street",1,0)</f>
        <v>0</v>
      </c>
      <c r="I276" s="1">
        <f>IF(F276="Mall",1,0)</f>
        <v>0</v>
      </c>
    </row>
    <row r="277" spans="1:9">
      <c r="A277" s="1" t="s">
        <v>91</v>
      </c>
      <c r="B277" s="1" t="s">
        <v>24</v>
      </c>
      <c r="C277" s="1">
        <f>IF(B277="East",1,0)</f>
        <v>0</v>
      </c>
      <c r="D277" s="1">
        <f>IF(B277="West",1,0)</f>
        <v>0</v>
      </c>
      <c r="E277" s="1">
        <f>IF(B277="North",1,0)</f>
        <v>0</v>
      </c>
      <c r="F277" s="1" t="s">
        <v>16</v>
      </c>
      <c r="G277" s="1">
        <f>IF(F277="Residential",1,0)</f>
        <v>1</v>
      </c>
      <c r="H277" s="1">
        <f>IF(F277="High Street",1,0)</f>
        <v>0</v>
      </c>
      <c r="I277" s="1">
        <f>IF(F277="Mall",1,0)</f>
        <v>0</v>
      </c>
    </row>
    <row r="278" spans="1:9">
      <c r="A278" s="1" t="s">
        <v>97</v>
      </c>
      <c r="B278" s="1" t="s">
        <v>20</v>
      </c>
      <c r="C278" s="1">
        <f>IF(B278="East",1,0)</f>
        <v>0</v>
      </c>
      <c r="D278" s="1">
        <f>IF(B278="West",1,0)</f>
        <v>0</v>
      </c>
      <c r="E278" s="1">
        <f>IF(B278="North",1,0)</f>
        <v>1</v>
      </c>
      <c r="F278" s="1" t="s">
        <v>28</v>
      </c>
      <c r="G278" s="1">
        <f>IF(F278="Residential",1,0)</f>
        <v>0</v>
      </c>
      <c r="H278" s="1">
        <f>IF(F278="High Street",1,0)</f>
        <v>0</v>
      </c>
      <c r="I278" s="1">
        <f>IF(F278="Mall",1,0)</f>
        <v>1</v>
      </c>
    </row>
    <row r="279" spans="1:9">
      <c r="A279" s="1" t="s">
        <v>79</v>
      </c>
      <c r="B279" s="1" t="s">
        <v>15</v>
      </c>
      <c r="C279" s="1">
        <f>IF(B279="East",1,0)</f>
        <v>1</v>
      </c>
      <c r="D279" s="1">
        <f>IF(B279="West",1,0)</f>
        <v>0</v>
      </c>
      <c r="E279" s="1">
        <f>IF(B279="North",1,0)</f>
        <v>0</v>
      </c>
      <c r="F279" s="1" t="s">
        <v>18</v>
      </c>
      <c r="G279" s="1">
        <f>IF(F279="Residential",1,0)</f>
        <v>0</v>
      </c>
      <c r="H279" s="1">
        <f>IF(F279="High Street",1,0)</f>
        <v>1</v>
      </c>
      <c r="I279" s="1">
        <f>IF(F279="Mall",1,0)</f>
        <v>0</v>
      </c>
    </row>
    <row r="280" spans="1:9">
      <c r="A280" s="1" t="s">
        <v>37</v>
      </c>
      <c r="B280" s="1" t="s">
        <v>24</v>
      </c>
      <c r="C280" s="1">
        <f>IF(B280="East",1,0)</f>
        <v>0</v>
      </c>
      <c r="D280" s="1">
        <f>IF(B280="West",1,0)</f>
        <v>0</v>
      </c>
      <c r="E280" s="1">
        <f>IF(B280="North",1,0)</f>
        <v>0</v>
      </c>
      <c r="F280" s="1" t="s">
        <v>18</v>
      </c>
      <c r="G280" s="1">
        <f>IF(F280="Residential",1,0)</f>
        <v>0</v>
      </c>
      <c r="H280" s="1">
        <f>IF(F280="High Street",1,0)</f>
        <v>1</v>
      </c>
      <c r="I280" s="1">
        <f>IF(F280="Mall",1,0)</f>
        <v>0</v>
      </c>
    </row>
    <row r="281" spans="1:9">
      <c r="A281" s="1" t="s">
        <v>86</v>
      </c>
      <c r="B281" s="1" t="s">
        <v>24</v>
      </c>
      <c r="C281" s="1">
        <f>IF(B281="East",1,0)</f>
        <v>0</v>
      </c>
      <c r="D281" s="1">
        <f>IF(B281="West",1,0)</f>
        <v>0</v>
      </c>
      <c r="E281" s="1">
        <f>IF(B281="North",1,0)</f>
        <v>0</v>
      </c>
      <c r="F281" s="1" t="s">
        <v>28</v>
      </c>
      <c r="G281" s="1">
        <f>IF(F281="Residential",1,0)</f>
        <v>0</v>
      </c>
      <c r="H281" s="1">
        <f>IF(F281="High Street",1,0)</f>
        <v>0</v>
      </c>
      <c r="I281" s="1">
        <f>IF(F281="Mall",1,0)</f>
        <v>1</v>
      </c>
    </row>
    <row r="282" spans="1:9">
      <c r="A282" s="1" t="s">
        <v>22</v>
      </c>
      <c r="B282" s="1" t="s">
        <v>15</v>
      </c>
      <c r="C282" s="1">
        <f>IF(B282="East",1,0)</f>
        <v>1</v>
      </c>
      <c r="D282" s="1">
        <f>IF(B282="West",1,0)</f>
        <v>0</v>
      </c>
      <c r="E282" s="1">
        <f>IF(B282="North",1,0)</f>
        <v>0</v>
      </c>
      <c r="F282" s="1" t="s">
        <v>16</v>
      </c>
      <c r="G282" s="1">
        <f>IF(F282="Residential",1,0)</f>
        <v>1</v>
      </c>
      <c r="H282" s="1">
        <f>IF(F282="High Street",1,0)</f>
        <v>0</v>
      </c>
      <c r="I282" s="1">
        <f>IF(F282="Mall",1,0)</f>
        <v>0</v>
      </c>
    </row>
    <row r="283" spans="1:9">
      <c r="A283" s="1" t="s">
        <v>75</v>
      </c>
      <c r="B283" s="1" t="s">
        <v>27</v>
      </c>
      <c r="C283" s="1">
        <f>IF(B283="East",1,0)</f>
        <v>0</v>
      </c>
      <c r="D283" s="1">
        <f>IF(B283="West",1,0)</f>
        <v>1</v>
      </c>
      <c r="E283" s="1">
        <f>IF(B283="North",1,0)</f>
        <v>0</v>
      </c>
      <c r="F283" s="1" t="s">
        <v>16</v>
      </c>
      <c r="G283" s="1">
        <f>IF(F283="Residential",1,0)</f>
        <v>1</v>
      </c>
      <c r="H283" s="1">
        <f>IF(F283="High Street",1,0)</f>
        <v>0</v>
      </c>
      <c r="I283" s="1">
        <f>IF(F283="Mall",1,0)</f>
        <v>0</v>
      </c>
    </row>
    <row r="284" spans="1:9">
      <c r="A284" s="1" t="s">
        <v>41</v>
      </c>
      <c r="B284" s="1" t="s">
        <v>24</v>
      </c>
      <c r="C284" s="1">
        <f>IF(B284="East",1,0)</f>
        <v>0</v>
      </c>
      <c r="D284" s="1">
        <f>IF(B284="West",1,0)</f>
        <v>0</v>
      </c>
      <c r="E284" s="1">
        <f>IF(B284="North",1,0)</f>
        <v>0</v>
      </c>
      <c r="F284" s="1" t="s">
        <v>18</v>
      </c>
      <c r="G284" s="1">
        <f>IF(F284="Residential",1,0)</f>
        <v>0</v>
      </c>
      <c r="H284" s="1">
        <f>IF(F284="High Street",1,0)</f>
        <v>1</v>
      </c>
      <c r="I284" s="1">
        <f>IF(F284="Mall",1,0)</f>
        <v>0</v>
      </c>
    </row>
    <row r="285" spans="1:9">
      <c r="A285" s="1" t="s">
        <v>37</v>
      </c>
      <c r="B285" s="1" t="s">
        <v>24</v>
      </c>
      <c r="C285" s="1">
        <f>IF(B285="East",1,0)</f>
        <v>0</v>
      </c>
      <c r="D285" s="1">
        <f>IF(B285="West",1,0)</f>
        <v>0</v>
      </c>
      <c r="E285" s="1">
        <f>IF(B285="North",1,0)</f>
        <v>0</v>
      </c>
      <c r="F285" s="1" t="s">
        <v>18</v>
      </c>
      <c r="G285" s="1">
        <f>IF(F285="Residential",1,0)</f>
        <v>0</v>
      </c>
      <c r="H285" s="1">
        <f>IF(F285="High Street",1,0)</f>
        <v>1</v>
      </c>
      <c r="I285" s="1">
        <f>IF(F285="Mall",1,0)</f>
        <v>0</v>
      </c>
    </row>
    <row r="286" spans="1:9">
      <c r="A286" s="1" t="s">
        <v>42</v>
      </c>
      <c r="B286" s="1" t="s">
        <v>27</v>
      </c>
      <c r="C286" s="1">
        <f>IF(B286="East",1,0)</f>
        <v>0</v>
      </c>
      <c r="D286" s="1">
        <f>IF(B286="West",1,0)</f>
        <v>1</v>
      </c>
      <c r="E286" s="1">
        <f>IF(B286="North",1,0)</f>
        <v>0</v>
      </c>
      <c r="F286" s="1" t="s">
        <v>28</v>
      </c>
      <c r="G286" s="1">
        <f>IF(F286="Residential",1,0)</f>
        <v>0</v>
      </c>
      <c r="H286" s="1">
        <f>IF(F286="High Street",1,0)</f>
        <v>0</v>
      </c>
      <c r="I286" s="1">
        <f>IF(F286="Mall",1,0)</f>
        <v>1</v>
      </c>
    </row>
    <row r="287" spans="1:9">
      <c r="A287" s="1" t="s">
        <v>66</v>
      </c>
      <c r="B287" s="1" t="s">
        <v>27</v>
      </c>
      <c r="C287" s="1">
        <f>IF(B287="East",1,0)</f>
        <v>0</v>
      </c>
      <c r="D287" s="1">
        <f>IF(B287="West",1,0)</f>
        <v>1</v>
      </c>
      <c r="E287" s="1">
        <f>IF(B287="North",1,0)</f>
        <v>0</v>
      </c>
      <c r="F287" s="1" t="s">
        <v>21</v>
      </c>
      <c r="G287" s="1">
        <f>IF(F287="Residential",1,0)</f>
        <v>0</v>
      </c>
      <c r="H287" s="1">
        <f>IF(F287="High Street",1,0)</f>
        <v>0</v>
      </c>
      <c r="I287" s="1">
        <f>IF(F287="Mall",1,0)</f>
        <v>0</v>
      </c>
    </row>
    <row r="288" spans="1:9">
      <c r="A288" s="1" t="s">
        <v>75</v>
      </c>
      <c r="B288" s="1" t="s">
        <v>27</v>
      </c>
      <c r="C288" s="1">
        <f>IF(B288="East",1,0)</f>
        <v>0</v>
      </c>
      <c r="D288" s="1">
        <f>IF(B288="West",1,0)</f>
        <v>1</v>
      </c>
      <c r="E288" s="1">
        <f>IF(B288="North",1,0)</f>
        <v>0</v>
      </c>
      <c r="F288" s="1" t="s">
        <v>16</v>
      </c>
      <c r="G288" s="1">
        <f>IF(F288="Residential",1,0)</f>
        <v>1</v>
      </c>
      <c r="H288" s="1">
        <f>IF(F288="High Street",1,0)</f>
        <v>0</v>
      </c>
      <c r="I288" s="1">
        <f>IF(F288="Mall",1,0)</f>
        <v>0</v>
      </c>
    </row>
    <row r="289" spans="1:9">
      <c r="A289" s="1" t="s">
        <v>98</v>
      </c>
      <c r="B289" s="1" t="s">
        <v>24</v>
      </c>
      <c r="C289" s="1">
        <f>IF(B289="East",1,0)</f>
        <v>0</v>
      </c>
      <c r="D289" s="1">
        <f>IF(B289="West",1,0)</f>
        <v>0</v>
      </c>
      <c r="E289" s="1">
        <f>IF(B289="North",1,0)</f>
        <v>0</v>
      </c>
      <c r="F289" s="1" t="s">
        <v>16</v>
      </c>
      <c r="G289" s="1">
        <f>IF(F289="Residential",1,0)</f>
        <v>1</v>
      </c>
      <c r="H289" s="1">
        <f>IF(F289="High Street",1,0)</f>
        <v>0</v>
      </c>
      <c r="I289" s="1">
        <f>IF(F289="Mall",1,0)</f>
        <v>0</v>
      </c>
    </row>
    <row r="290" spans="1:9">
      <c r="A290" s="1" t="s">
        <v>66</v>
      </c>
      <c r="B290" s="1" t="s">
        <v>27</v>
      </c>
      <c r="C290" s="1">
        <f>IF(B290="East",1,0)</f>
        <v>0</v>
      </c>
      <c r="D290" s="1">
        <f>IF(B290="West",1,0)</f>
        <v>1</v>
      </c>
      <c r="E290" s="1">
        <f>IF(B290="North",1,0)</f>
        <v>0</v>
      </c>
      <c r="F290" s="1" t="s">
        <v>21</v>
      </c>
      <c r="G290" s="1">
        <f>IF(F290="Residential",1,0)</f>
        <v>0</v>
      </c>
      <c r="H290" s="1">
        <f>IF(F290="High Street",1,0)</f>
        <v>0</v>
      </c>
      <c r="I290" s="1">
        <f>IF(F290="Mall",1,0)</f>
        <v>0</v>
      </c>
    </row>
    <row r="291" spans="1:9">
      <c r="A291" s="1" t="s">
        <v>71</v>
      </c>
      <c r="B291" s="1" t="s">
        <v>20</v>
      </c>
      <c r="C291" s="1">
        <f>IF(B291="East",1,0)</f>
        <v>0</v>
      </c>
      <c r="D291" s="1">
        <f>IF(B291="West",1,0)</f>
        <v>0</v>
      </c>
      <c r="E291" s="1">
        <f>IF(B291="North",1,0)</f>
        <v>1</v>
      </c>
      <c r="F291" s="1" t="s">
        <v>16</v>
      </c>
      <c r="G291" s="1">
        <f>IF(F291="Residential",1,0)</f>
        <v>1</v>
      </c>
      <c r="H291" s="1">
        <f>IF(F291="High Street",1,0)</f>
        <v>0</v>
      </c>
      <c r="I291" s="1">
        <f>IF(F291="Mall",1,0)</f>
        <v>0</v>
      </c>
    </row>
    <row r="292" spans="1:9">
      <c r="A292" s="1" t="s">
        <v>19</v>
      </c>
      <c r="B292" s="1" t="s">
        <v>20</v>
      </c>
      <c r="C292" s="1">
        <f>IF(B292="East",1,0)</f>
        <v>0</v>
      </c>
      <c r="D292" s="1">
        <f>IF(B292="West",1,0)</f>
        <v>0</v>
      </c>
      <c r="E292" s="1">
        <f>IF(B292="North",1,0)</f>
        <v>1</v>
      </c>
      <c r="F292" s="1" t="s">
        <v>21</v>
      </c>
      <c r="G292" s="1">
        <f>IF(F292="Residential",1,0)</f>
        <v>0</v>
      </c>
      <c r="H292" s="1">
        <f>IF(F292="High Street",1,0)</f>
        <v>0</v>
      </c>
      <c r="I292" s="1">
        <f>IF(F292="Mall",1,0)</f>
        <v>0</v>
      </c>
    </row>
    <row r="293" spans="1:9">
      <c r="A293" s="1" t="s">
        <v>61</v>
      </c>
      <c r="B293" s="1" t="s">
        <v>20</v>
      </c>
      <c r="C293" s="1">
        <f>IF(B293="East",1,0)</f>
        <v>0</v>
      </c>
      <c r="D293" s="1">
        <f>IF(B293="West",1,0)</f>
        <v>0</v>
      </c>
      <c r="E293" s="1">
        <f>IF(B293="North",1,0)</f>
        <v>1</v>
      </c>
      <c r="F293" s="1" t="s">
        <v>28</v>
      </c>
      <c r="G293" s="1">
        <f>IF(F293="Residential",1,0)</f>
        <v>0</v>
      </c>
      <c r="H293" s="1">
        <f>IF(F293="High Street",1,0)</f>
        <v>0</v>
      </c>
      <c r="I293" s="1">
        <f>IF(F293="Mall",1,0)</f>
        <v>1</v>
      </c>
    </row>
    <row r="294" spans="1:9">
      <c r="A294" s="1" t="s">
        <v>32</v>
      </c>
      <c r="B294" s="1" t="s">
        <v>15</v>
      </c>
      <c r="C294" s="1">
        <f>IF(B294="East",1,0)</f>
        <v>1</v>
      </c>
      <c r="D294" s="1">
        <f>IF(B294="West",1,0)</f>
        <v>0</v>
      </c>
      <c r="E294" s="1">
        <f>IF(B294="North",1,0)</f>
        <v>0</v>
      </c>
      <c r="F294" s="1" t="s">
        <v>28</v>
      </c>
      <c r="G294" s="1">
        <f>IF(F294="Residential",1,0)</f>
        <v>0</v>
      </c>
      <c r="H294" s="1">
        <f>IF(F294="High Street",1,0)</f>
        <v>0</v>
      </c>
      <c r="I294" s="1">
        <f>IF(F294="Mall",1,0)</f>
        <v>1</v>
      </c>
    </row>
    <row r="295" spans="1:9">
      <c r="A295" s="1" t="s">
        <v>53</v>
      </c>
      <c r="B295" s="1" t="s">
        <v>24</v>
      </c>
      <c r="C295" s="1">
        <f>IF(B295="East",1,0)</f>
        <v>0</v>
      </c>
      <c r="D295" s="1">
        <f>IF(B295="West",1,0)</f>
        <v>0</v>
      </c>
      <c r="E295" s="1">
        <f>IF(B295="North",1,0)</f>
        <v>0</v>
      </c>
      <c r="F295" s="1" t="s">
        <v>18</v>
      </c>
      <c r="G295" s="1">
        <f>IF(F295="Residential",1,0)</f>
        <v>0</v>
      </c>
      <c r="H295" s="1">
        <f>IF(F295="High Street",1,0)</f>
        <v>1</v>
      </c>
      <c r="I295" s="1">
        <f>IF(F295="Mall",1,0)</f>
        <v>0</v>
      </c>
    </row>
    <row r="296" spans="1:9">
      <c r="A296" s="1" t="s">
        <v>80</v>
      </c>
      <c r="B296" s="1" t="s">
        <v>27</v>
      </c>
      <c r="C296" s="1">
        <f>IF(B296="East",1,0)</f>
        <v>0</v>
      </c>
      <c r="D296" s="1">
        <f>IF(B296="West",1,0)</f>
        <v>1</v>
      </c>
      <c r="E296" s="1">
        <f>IF(B296="North",1,0)</f>
        <v>0</v>
      </c>
      <c r="F296" s="1" t="s">
        <v>16</v>
      </c>
      <c r="G296" s="1">
        <f>IF(F296="Residential",1,0)</f>
        <v>1</v>
      </c>
      <c r="H296" s="1">
        <f>IF(F296="High Street",1,0)</f>
        <v>0</v>
      </c>
      <c r="I296" s="1">
        <f>IF(F296="Mall",1,0)</f>
        <v>0</v>
      </c>
    </row>
    <row r="297" spans="1:9">
      <c r="A297" s="1" t="s">
        <v>39</v>
      </c>
      <c r="B297" s="1" t="s">
        <v>15</v>
      </c>
      <c r="C297" s="1">
        <f>IF(B297="East",1,0)</f>
        <v>1</v>
      </c>
      <c r="D297" s="1">
        <f>IF(B297="West",1,0)</f>
        <v>0</v>
      </c>
      <c r="E297" s="1">
        <f>IF(B297="North",1,0)</f>
        <v>0</v>
      </c>
      <c r="F297" s="1" t="s">
        <v>18</v>
      </c>
      <c r="G297" s="1">
        <f>IF(F297="Residential",1,0)</f>
        <v>0</v>
      </c>
      <c r="H297" s="1">
        <f>IF(F297="High Street",1,0)</f>
        <v>1</v>
      </c>
      <c r="I297" s="1">
        <f>IF(F297="Mall",1,0)</f>
        <v>0</v>
      </c>
    </row>
    <row r="298" spans="1:9">
      <c r="A298" s="1" t="s">
        <v>68</v>
      </c>
      <c r="B298" s="1" t="s">
        <v>20</v>
      </c>
      <c r="C298" s="1">
        <f>IF(B298="East",1,0)</f>
        <v>0</v>
      </c>
      <c r="D298" s="1">
        <f>IF(B298="West",1,0)</f>
        <v>0</v>
      </c>
      <c r="E298" s="1">
        <f>IF(B298="North",1,0)</f>
        <v>1</v>
      </c>
      <c r="F298" s="1" t="s">
        <v>18</v>
      </c>
      <c r="G298" s="1">
        <f>IF(F298="Residential",1,0)</f>
        <v>0</v>
      </c>
      <c r="H298" s="1">
        <f>IF(F298="High Street",1,0)</f>
        <v>1</v>
      </c>
      <c r="I298" s="1">
        <f>IF(F298="Mall",1,0)</f>
        <v>0</v>
      </c>
    </row>
    <row r="299" spans="1:9">
      <c r="A299" s="1" t="s">
        <v>17</v>
      </c>
      <c r="B299" s="1" t="s">
        <v>15</v>
      </c>
      <c r="C299" s="1">
        <f>IF(B299="East",1,0)</f>
        <v>1</v>
      </c>
      <c r="D299" s="1">
        <f>IF(B299="West",1,0)</f>
        <v>0</v>
      </c>
      <c r="E299" s="1">
        <f>IF(B299="North",1,0)</f>
        <v>0</v>
      </c>
      <c r="F299" s="1" t="s">
        <v>18</v>
      </c>
      <c r="G299" s="1">
        <f>IF(F299="Residential",1,0)</f>
        <v>0</v>
      </c>
      <c r="H299" s="1">
        <f>IF(F299="High Street",1,0)</f>
        <v>1</v>
      </c>
      <c r="I299" s="1">
        <f>IF(F299="Mall",1,0)</f>
        <v>0</v>
      </c>
    </row>
    <row r="300" spans="1:9">
      <c r="A300" s="1" t="s">
        <v>37</v>
      </c>
      <c r="B300" s="1" t="s">
        <v>24</v>
      </c>
      <c r="C300" s="1">
        <f>IF(B300="East",1,0)</f>
        <v>0</v>
      </c>
      <c r="D300" s="1">
        <f>IF(B300="West",1,0)</f>
        <v>0</v>
      </c>
      <c r="E300" s="1">
        <f>IF(B300="North",1,0)</f>
        <v>0</v>
      </c>
      <c r="F300" s="1" t="s">
        <v>18</v>
      </c>
      <c r="G300" s="1">
        <f>IF(F300="Residential",1,0)</f>
        <v>0</v>
      </c>
      <c r="H300" s="1">
        <f>IF(F300="High Street",1,0)</f>
        <v>1</v>
      </c>
      <c r="I300" s="1">
        <f>IF(F300="Mall",1,0)</f>
        <v>0</v>
      </c>
    </row>
    <row r="301" spans="1:9">
      <c r="A301" s="1" t="s">
        <v>45</v>
      </c>
      <c r="B301" s="1" t="s">
        <v>27</v>
      </c>
      <c r="C301" s="1">
        <f>IF(B301="East",1,0)</f>
        <v>0</v>
      </c>
      <c r="D301" s="1">
        <f>IF(B301="West",1,0)</f>
        <v>1</v>
      </c>
      <c r="E301" s="1">
        <f>IF(B301="North",1,0)</f>
        <v>0</v>
      </c>
      <c r="F301" s="1" t="s">
        <v>16</v>
      </c>
      <c r="G301" s="1">
        <f>IF(F301="Residential",1,0)</f>
        <v>1</v>
      </c>
      <c r="H301" s="1">
        <f>IF(F301="High Street",1,0)</f>
        <v>0</v>
      </c>
      <c r="I301" s="1">
        <f>IF(F301="Mall",1,0)</f>
        <v>0</v>
      </c>
    </row>
    <row r="302" spans="1:9">
      <c r="A302" s="1" t="s">
        <v>46</v>
      </c>
      <c r="B302" s="1" t="s">
        <v>27</v>
      </c>
      <c r="C302" s="1">
        <f>IF(B302="East",1,0)</f>
        <v>0</v>
      </c>
      <c r="D302" s="1">
        <f>IF(B302="West",1,0)</f>
        <v>1</v>
      </c>
      <c r="E302" s="1">
        <f>IF(B302="North",1,0)</f>
        <v>0</v>
      </c>
      <c r="F302" s="1" t="s">
        <v>28</v>
      </c>
      <c r="G302" s="1">
        <f>IF(F302="Residential",1,0)</f>
        <v>0</v>
      </c>
      <c r="H302" s="1">
        <f>IF(F302="High Street",1,0)</f>
        <v>0</v>
      </c>
      <c r="I302" s="1">
        <f>IF(F302="Mall",1,0)</f>
        <v>1</v>
      </c>
    </row>
    <row r="303" spans="1:9">
      <c r="A303" s="1" t="s">
        <v>87</v>
      </c>
      <c r="B303" s="1" t="s">
        <v>27</v>
      </c>
      <c r="C303" s="1">
        <f>IF(B303="East",1,0)</f>
        <v>0</v>
      </c>
      <c r="D303" s="1">
        <f>IF(B303="West",1,0)</f>
        <v>1</v>
      </c>
      <c r="E303" s="1">
        <f>IF(B303="North",1,0)</f>
        <v>0</v>
      </c>
      <c r="F303" s="1" t="s">
        <v>18</v>
      </c>
      <c r="G303" s="1">
        <f>IF(F303="Residential",1,0)</f>
        <v>0</v>
      </c>
      <c r="H303" s="1">
        <f>IF(F303="High Street",1,0)</f>
        <v>1</v>
      </c>
      <c r="I303" s="1">
        <f>IF(F303="Mall",1,0)</f>
        <v>0</v>
      </c>
    </row>
    <row r="304" spans="1:9">
      <c r="A304" s="1" t="s">
        <v>48</v>
      </c>
      <c r="B304" s="1" t="s">
        <v>27</v>
      </c>
      <c r="C304" s="1">
        <f>IF(B304="East",1,0)</f>
        <v>0</v>
      </c>
      <c r="D304" s="1">
        <f>IF(B304="West",1,0)</f>
        <v>1</v>
      </c>
      <c r="E304" s="1">
        <f>IF(B304="North",1,0)</f>
        <v>0</v>
      </c>
      <c r="F304" s="1" t="s">
        <v>18</v>
      </c>
      <c r="G304" s="1">
        <f>IF(F304="Residential",1,0)</f>
        <v>0</v>
      </c>
      <c r="H304" s="1">
        <f>IF(F304="High Street",1,0)</f>
        <v>1</v>
      </c>
      <c r="I304" s="1">
        <f>IF(F304="Mall",1,0)</f>
        <v>0</v>
      </c>
    </row>
    <row r="305" spans="1:9">
      <c r="A305" s="1" t="s">
        <v>85</v>
      </c>
      <c r="B305" s="1" t="s">
        <v>24</v>
      </c>
      <c r="C305" s="1">
        <f>IF(B305="East",1,0)</f>
        <v>0</v>
      </c>
      <c r="D305" s="1">
        <f>IF(B305="West",1,0)</f>
        <v>0</v>
      </c>
      <c r="E305" s="1">
        <f>IF(B305="North",1,0)</f>
        <v>0</v>
      </c>
      <c r="F305" s="1" t="s">
        <v>21</v>
      </c>
      <c r="G305" s="1">
        <f>IF(F305="Residential",1,0)</f>
        <v>0</v>
      </c>
      <c r="H305" s="1">
        <f>IF(F305="High Street",1,0)</f>
        <v>0</v>
      </c>
      <c r="I305" s="1">
        <f>IF(F305="Mall",1,0)</f>
        <v>0</v>
      </c>
    </row>
    <row r="306" spans="1:9">
      <c r="A306" s="1" t="s">
        <v>56</v>
      </c>
      <c r="B306" s="1" t="s">
        <v>24</v>
      </c>
      <c r="C306" s="1">
        <f>IF(B306="East",1,0)</f>
        <v>0</v>
      </c>
      <c r="D306" s="1">
        <f>IF(B306="West",1,0)</f>
        <v>0</v>
      </c>
      <c r="E306" s="1">
        <f>IF(B306="North",1,0)</f>
        <v>0</v>
      </c>
      <c r="F306" s="1" t="s">
        <v>16</v>
      </c>
      <c r="G306" s="1">
        <f>IF(F306="Residential",1,0)</f>
        <v>1</v>
      </c>
      <c r="H306" s="1">
        <f>IF(F306="High Street",1,0)</f>
        <v>0</v>
      </c>
      <c r="I306" s="1">
        <f>IF(F306="Mall",1,0)</f>
        <v>0</v>
      </c>
    </row>
    <row r="307" spans="1:9">
      <c r="A307" s="1" t="s">
        <v>72</v>
      </c>
      <c r="B307" s="1" t="s">
        <v>15</v>
      </c>
      <c r="C307" s="1">
        <f>IF(B307="East",1,0)</f>
        <v>1</v>
      </c>
      <c r="D307" s="1">
        <f>IF(B307="West",1,0)</f>
        <v>0</v>
      </c>
      <c r="E307" s="1">
        <f>IF(B307="North",1,0)</f>
        <v>0</v>
      </c>
      <c r="F307" s="1" t="s">
        <v>21</v>
      </c>
      <c r="G307" s="1">
        <f>IF(F307="Residential",1,0)</f>
        <v>0</v>
      </c>
      <c r="H307" s="1">
        <f>IF(F307="High Street",1,0)</f>
        <v>0</v>
      </c>
      <c r="I307" s="1">
        <f>IF(F307="Mall",1,0)</f>
        <v>0</v>
      </c>
    </row>
    <row r="308" spans="1:9">
      <c r="A308" s="1" t="s">
        <v>96</v>
      </c>
      <c r="B308" s="1" t="s">
        <v>27</v>
      </c>
      <c r="C308" s="1">
        <f>IF(B308="East",1,0)</f>
        <v>0</v>
      </c>
      <c r="D308" s="1">
        <f>IF(B308="West",1,0)</f>
        <v>1</v>
      </c>
      <c r="E308" s="1">
        <f>IF(B308="North",1,0)</f>
        <v>0</v>
      </c>
      <c r="F308" s="1" t="s">
        <v>18</v>
      </c>
      <c r="G308" s="1">
        <f>IF(F308="Residential",1,0)</f>
        <v>0</v>
      </c>
      <c r="H308" s="1">
        <f>IF(F308="High Street",1,0)</f>
        <v>1</v>
      </c>
      <c r="I308" s="1">
        <f>IF(F308="Mall",1,0)</f>
        <v>0</v>
      </c>
    </row>
    <row r="309" spans="1:9">
      <c r="A309" s="1" t="s">
        <v>45</v>
      </c>
      <c r="B309" s="1" t="s">
        <v>27</v>
      </c>
      <c r="C309" s="1">
        <f>IF(B309="East",1,0)</f>
        <v>0</v>
      </c>
      <c r="D309" s="1">
        <f>IF(B309="West",1,0)</f>
        <v>1</v>
      </c>
      <c r="E309" s="1">
        <f>IF(B309="North",1,0)</f>
        <v>0</v>
      </c>
      <c r="F309" s="1" t="s">
        <v>16</v>
      </c>
      <c r="G309" s="1">
        <f>IF(F309="Residential",1,0)</f>
        <v>1</v>
      </c>
      <c r="H309" s="1">
        <f>IF(F309="High Street",1,0)</f>
        <v>0</v>
      </c>
      <c r="I309" s="1">
        <f>IF(F309="Mall",1,0)</f>
        <v>0</v>
      </c>
    </row>
    <row r="310" spans="1:9">
      <c r="A310" s="1" t="s">
        <v>90</v>
      </c>
      <c r="B310" s="1" t="s">
        <v>27</v>
      </c>
      <c r="C310" s="1">
        <f>IF(B310="East",1,0)</f>
        <v>0</v>
      </c>
      <c r="D310" s="1">
        <f>IF(B310="West",1,0)</f>
        <v>1</v>
      </c>
      <c r="E310" s="1">
        <f>IF(B310="North",1,0)</f>
        <v>0</v>
      </c>
      <c r="F310" s="1" t="s">
        <v>18</v>
      </c>
      <c r="G310" s="1">
        <f>IF(F310="Residential",1,0)</f>
        <v>0</v>
      </c>
      <c r="H310" s="1">
        <f>IF(F310="High Street",1,0)</f>
        <v>1</v>
      </c>
      <c r="I310" s="1">
        <f>IF(F310="Mall",1,0)</f>
        <v>0</v>
      </c>
    </row>
    <row r="311" spans="1:9">
      <c r="A311" s="1" t="s">
        <v>42</v>
      </c>
      <c r="B311" s="1" t="s">
        <v>27</v>
      </c>
      <c r="C311" s="1">
        <f>IF(B311="East",1,0)</f>
        <v>0</v>
      </c>
      <c r="D311" s="1">
        <f>IF(B311="West",1,0)</f>
        <v>1</v>
      </c>
      <c r="E311" s="1">
        <f>IF(B311="North",1,0)</f>
        <v>0</v>
      </c>
      <c r="F311" s="1" t="s">
        <v>28</v>
      </c>
      <c r="G311" s="1">
        <f>IF(F311="Residential",1,0)</f>
        <v>0</v>
      </c>
      <c r="H311" s="1">
        <f>IF(F311="High Street",1,0)</f>
        <v>0</v>
      </c>
      <c r="I311" s="1">
        <f>IF(F311="Mall",1,0)</f>
        <v>1</v>
      </c>
    </row>
    <row r="312" spans="1:9">
      <c r="A312" s="1" t="s">
        <v>62</v>
      </c>
      <c r="B312" s="1" t="s">
        <v>24</v>
      </c>
      <c r="C312" s="1">
        <f>IF(B312="East",1,0)</f>
        <v>0</v>
      </c>
      <c r="D312" s="1">
        <f>IF(B312="West",1,0)</f>
        <v>0</v>
      </c>
      <c r="E312" s="1">
        <f>IF(B312="North",1,0)</f>
        <v>0</v>
      </c>
      <c r="F312" s="1" t="s">
        <v>18</v>
      </c>
      <c r="G312" s="1">
        <f>IF(F312="Residential",1,0)</f>
        <v>0</v>
      </c>
      <c r="H312" s="1">
        <f>IF(F312="High Street",1,0)</f>
        <v>1</v>
      </c>
      <c r="I312" s="1">
        <f>IF(F312="Mall",1,0)</f>
        <v>0</v>
      </c>
    </row>
    <row r="313" spans="1:9">
      <c r="A313" s="1" t="s">
        <v>86</v>
      </c>
      <c r="B313" s="1" t="s">
        <v>24</v>
      </c>
      <c r="C313" s="1">
        <f>IF(B313="East",1,0)</f>
        <v>0</v>
      </c>
      <c r="D313" s="1">
        <f>IF(B313="West",1,0)</f>
        <v>0</v>
      </c>
      <c r="E313" s="1">
        <f>IF(B313="North",1,0)</f>
        <v>0</v>
      </c>
      <c r="F313" s="1" t="s">
        <v>28</v>
      </c>
      <c r="G313" s="1">
        <f>IF(F313="Residential",1,0)</f>
        <v>0</v>
      </c>
      <c r="H313" s="1">
        <f>IF(F313="High Street",1,0)</f>
        <v>0</v>
      </c>
      <c r="I313" s="1">
        <f>IF(F313="Mall",1,0)</f>
        <v>1</v>
      </c>
    </row>
    <row r="314" spans="1:9">
      <c r="A314" s="1" t="s">
        <v>40</v>
      </c>
      <c r="B314" s="1" t="s">
        <v>15</v>
      </c>
      <c r="C314" s="1">
        <f>IF(B314="East",1,0)</f>
        <v>1</v>
      </c>
      <c r="D314" s="1">
        <f>IF(B314="West",1,0)</f>
        <v>0</v>
      </c>
      <c r="E314" s="1">
        <f>IF(B314="North",1,0)</f>
        <v>0</v>
      </c>
      <c r="F314" s="1" t="s">
        <v>16</v>
      </c>
      <c r="G314" s="1">
        <f>IF(F314="Residential",1,0)</f>
        <v>1</v>
      </c>
      <c r="H314" s="1">
        <f>IF(F314="High Street",1,0)</f>
        <v>0</v>
      </c>
      <c r="I314" s="1">
        <f>IF(F314="Mall",1,0)</f>
        <v>0</v>
      </c>
    </row>
    <row r="315" spans="1:9">
      <c r="A315" s="1" t="s">
        <v>47</v>
      </c>
      <c r="B315" s="1" t="s">
        <v>15</v>
      </c>
      <c r="C315" s="1">
        <f>IF(B315="East",1,0)</f>
        <v>1</v>
      </c>
      <c r="D315" s="1">
        <f>IF(B315="West",1,0)</f>
        <v>0</v>
      </c>
      <c r="E315" s="1">
        <f>IF(B315="North",1,0)</f>
        <v>0</v>
      </c>
      <c r="F315" s="1" t="s">
        <v>28</v>
      </c>
      <c r="G315" s="1">
        <f>IF(F315="Residential",1,0)</f>
        <v>0</v>
      </c>
      <c r="H315" s="1">
        <f>IF(F315="High Street",1,0)</f>
        <v>0</v>
      </c>
      <c r="I315" s="1">
        <f>IF(F315="Mall",1,0)</f>
        <v>1</v>
      </c>
    </row>
    <row r="316" spans="1:9">
      <c r="A316" s="1" t="s">
        <v>80</v>
      </c>
      <c r="B316" s="1" t="s">
        <v>27</v>
      </c>
      <c r="C316" s="1">
        <f>IF(B316="East",1,0)</f>
        <v>0</v>
      </c>
      <c r="D316" s="1">
        <f>IF(B316="West",1,0)</f>
        <v>1</v>
      </c>
      <c r="E316" s="1">
        <f>IF(B316="North",1,0)</f>
        <v>0</v>
      </c>
      <c r="F316" s="1" t="s">
        <v>16</v>
      </c>
      <c r="G316" s="1">
        <f>IF(F316="Residential",1,0)</f>
        <v>1</v>
      </c>
      <c r="H316" s="1">
        <f>IF(F316="High Street",1,0)</f>
        <v>0</v>
      </c>
      <c r="I316" s="1">
        <f>IF(F316="Mall",1,0)</f>
        <v>0</v>
      </c>
    </row>
    <row r="317" spans="1:9">
      <c r="A317" s="1" t="s">
        <v>71</v>
      </c>
      <c r="B317" s="1" t="s">
        <v>20</v>
      </c>
      <c r="C317" s="1">
        <f>IF(B317="East",1,0)</f>
        <v>0</v>
      </c>
      <c r="D317" s="1">
        <f>IF(B317="West",1,0)</f>
        <v>0</v>
      </c>
      <c r="E317" s="1">
        <f>IF(B317="North",1,0)</f>
        <v>1</v>
      </c>
      <c r="F317" s="1" t="s">
        <v>16</v>
      </c>
      <c r="G317" s="1">
        <f>IF(F317="Residential",1,0)</f>
        <v>1</v>
      </c>
      <c r="H317" s="1">
        <f>IF(F317="High Street",1,0)</f>
        <v>0</v>
      </c>
      <c r="I317" s="1">
        <f>IF(F317="Mall",1,0)</f>
        <v>0</v>
      </c>
    </row>
    <row r="318" spans="1:9">
      <c r="A318" s="1" t="s">
        <v>53</v>
      </c>
      <c r="B318" s="1" t="s">
        <v>24</v>
      </c>
      <c r="C318" s="1">
        <f>IF(B318="East",1,0)</f>
        <v>0</v>
      </c>
      <c r="D318" s="1">
        <f>IF(B318="West",1,0)</f>
        <v>0</v>
      </c>
      <c r="E318" s="1">
        <f>IF(B318="North",1,0)</f>
        <v>0</v>
      </c>
      <c r="F318" s="1" t="s">
        <v>18</v>
      </c>
      <c r="G318" s="1">
        <f>IF(F318="Residential",1,0)</f>
        <v>0</v>
      </c>
      <c r="H318" s="1">
        <f>IF(F318="High Street",1,0)</f>
        <v>1</v>
      </c>
      <c r="I318" s="1">
        <f>IF(F318="Mall",1,0)</f>
        <v>0</v>
      </c>
    </row>
    <row r="319" spans="1:9">
      <c r="A319" s="1" t="s">
        <v>49</v>
      </c>
      <c r="B319" s="1" t="s">
        <v>15</v>
      </c>
      <c r="C319" s="1">
        <f>IF(B319="East",1,0)</f>
        <v>1</v>
      </c>
      <c r="D319" s="1">
        <f>IF(B319="West",1,0)</f>
        <v>0</v>
      </c>
      <c r="E319" s="1">
        <f>IF(B319="North",1,0)</f>
        <v>0</v>
      </c>
      <c r="F319" s="1" t="s">
        <v>28</v>
      </c>
      <c r="G319" s="1">
        <f>IF(F319="Residential",1,0)</f>
        <v>0</v>
      </c>
      <c r="H319" s="1">
        <f>IF(F319="High Street",1,0)</f>
        <v>0</v>
      </c>
      <c r="I319" s="1">
        <f>IF(F319="Mall",1,0)</f>
        <v>1</v>
      </c>
    </row>
    <row r="320" spans="1:9">
      <c r="A320" s="1" t="s">
        <v>51</v>
      </c>
      <c r="B320" s="1" t="s">
        <v>27</v>
      </c>
      <c r="C320" s="1">
        <f>IF(B320="East",1,0)</f>
        <v>0</v>
      </c>
      <c r="D320" s="1">
        <f>IF(B320="West",1,0)</f>
        <v>1</v>
      </c>
      <c r="E320" s="1">
        <f>IF(B320="North",1,0)</f>
        <v>0</v>
      </c>
      <c r="F320" s="1" t="s">
        <v>16</v>
      </c>
      <c r="G320" s="1">
        <f>IF(F320="Residential",1,0)</f>
        <v>1</v>
      </c>
      <c r="H320" s="1">
        <f>IF(F320="High Street",1,0)</f>
        <v>0</v>
      </c>
      <c r="I320" s="1">
        <f>IF(F320="Mall",1,0)</f>
        <v>0</v>
      </c>
    </row>
    <row r="321" spans="1:9">
      <c r="A321" s="1" t="s">
        <v>94</v>
      </c>
      <c r="B321" s="1" t="s">
        <v>15</v>
      </c>
      <c r="C321" s="1">
        <f>IF(B321="East",1,0)</f>
        <v>1</v>
      </c>
      <c r="D321" s="1">
        <f>IF(B321="West",1,0)</f>
        <v>0</v>
      </c>
      <c r="E321" s="1">
        <f>IF(B321="North",1,0)</f>
        <v>0</v>
      </c>
      <c r="F321" s="1" t="s">
        <v>16</v>
      </c>
      <c r="G321" s="1">
        <f>IF(F321="Residential",1,0)</f>
        <v>1</v>
      </c>
      <c r="H321" s="1">
        <f>IF(F321="High Street",1,0)</f>
        <v>0</v>
      </c>
      <c r="I321" s="1">
        <f>IF(F321="Mall",1,0)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26CB-A7E1-4186-B903-B7CC41172351}">
  <dimension ref="A1:O347"/>
  <sheetViews>
    <sheetView workbookViewId="0">
      <selection sqref="A1:A1048576"/>
    </sheetView>
  </sheetViews>
  <sheetFormatPr defaultRowHeight="14.4"/>
  <cols>
    <col min="1" max="1" width="14.77734375" customWidth="1"/>
    <col min="2" max="2" width="15.44140625" customWidth="1"/>
    <col min="7" max="7" width="13.21875" customWidth="1"/>
    <col min="8" max="8" width="13" customWidth="1"/>
    <col min="9" max="9" width="15.77734375" customWidth="1"/>
    <col min="10" max="10" width="14.109375" customWidth="1"/>
    <col min="11" max="11" width="12.33203125" customWidth="1"/>
    <col min="12" max="12" width="13.77734375" customWidth="1"/>
    <col min="13" max="13" width="15.5546875" customWidth="1"/>
    <col min="14" max="14" width="14.44140625" customWidth="1"/>
    <col min="15" max="15" width="14.33203125" customWidth="1"/>
  </cols>
  <sheetData>
    <row r="1" spans="1:12">
      <c r="A1" s="5" t="s">
        <v>12</v>
      </c>
      <c r="B1" s="4" t="s">
        <v>4</v>
      </c>
    </row>
    <row r="2" spans="1:12" ht="15.6">
      <c r="A2">
        <v>658832.62</v>
      </c>
      <c r="B2">
        <v>70389.11</v>
      </c>
      <c r="G2" s="10" t="s">
        <v>135</v>
      </c>
      <c r="H2" s="10"/>
      <c r="I2" s="10"/>
      <c r="J2" s="10"/>
    </row>
    <row r="3" spans="1:12">
      <c r="A3">
        <v>634436</v>
      </c>
      <c r="B3">
        <v>43827.89</v>
      </c>
    </row>
    <row r="4" spans="1:12">
      <c r="A4">
        <v>678722.06</v>
      </c>
      <c r="B4">
        <v>59921.75</v>
      </c>
      <c r="G4" t="s">
        <v>107</v>
      </c>
    </row>
    <row r="5" spans="1:12" ht="15" thickBot="1">
      <c r="A5">
        <v>658920.30000000005</v>
      </c>
      <c r="B5">
        <v>56856.63</v>
      </c>
    </row>
    <row r="6" spans="1:12">
      <c r="A6">
        <v>741341.44</v>
      </c>
      <c r="B6">
        <v>48412.639999999999</v>
      </c>
      <c r="G6" s="9" t="s">
        <v>108</v>
      </c>
      <c r="H6" s="9"/>
    </row>
    <row r="7" spans="1:12">
      <c r="A7">
        <v>761835.34</v>
      </c>
      <c r="B7">
        <v>64811.21</v>
      </c>
      <c r="G7" s="6" t="s">
        <v>109</v>
      </c>
      <c r="H7" s="6">
        <v>0.40895561021322352</v>
      </c>
    </row>
    <row r="8" spans="1:12">
      <c r="A8">
        <v>806615.54</v>
      </c>
      <c r="B8">
        <v>46213.45</v>
      </c>
      <c r="G8" s="6" t="s">
        <v>110</v>
      </c>
      <c r="H8" s="6">
        <v>0.16724469112487</v>
      </c>
    </row>
    <row r="9" spans="1:12">
      <c r="A9">
        <v>850164.26</v>
      </c>
      <c r="B9">
        <v>68148.52</v>
      </c>
      <c r="G9" s="6" t="s">
        <v>111</v>
      </c>
      <c r="H9" s="6">
        <v>0.16462596373847024</v>
      </c>
    </row>
    <row r="10" spans="1:12">
      <c r="A10">
        <v>930581.7</v>
      </c>
      <c r="B10">
        <v>71838.86</v>
      </c>
      <c r="G10" s="6" t="s">
        <v>112</v>
      </c>
      <c r="H10" s="6">
        <v>94846.03383215853</v>
      </c>
    </row>
    <row r="11" spans="1:12" ht="15" thickBot="1">
      <c r="A11">
        <v>779010.94</v>
      </c>
      <c r="B11">
        <v>68133.440000000002</v>
      </c>
      <c r="G11" s="7" t="s">
        <v>113</v>
      </c>
      <c r="H11" s="7">
        <v>320</v>
      </c>
    </row>
    <row r="12" spans="1:12">
      <c r="A12">
        <v>723060.76</v>
      </c>
      <c r="B12">
        <v>34285.21</v>
      </c>
    </row>
    <row r="13" spans="1:12" ht="15" thickBot="1">
      <c r="A13">
        <v>910791.94</v>
      </c>
      <c r="B13">
        <v>67979.88</v>
      </c>
      <c r="G13" t="s">
        <v>114</v>
      </c>
    </row>
    <row r="14" spans="1:12">
      <c r="A14">
        <v>922168.6</v>
      </c>
      <c r="B14">
        <v>71828.259999999995</v>
      </c>
      <c r="G14" s="8"/>
      <c r="H14" s="8" t="s">
        <v>119</v>
      </c>
      <c r="I14" s="8" t="s">
        <v>120</v>
      </c>
      <c r="J14" s="8" t="s">
        <v>121</v>
      </c>
      <c r="K14" s="8" t="s">
        <v>122</v>
      </c>
      <c r="L14" s="8" t="s">
        <v>123</v>
      </c>
    </row>
    <row r="15" spans="1:12">
      <c r="A15">
        <v>726606.28</v>
      </c>
      <c r="B15">
        <v>55716.82</v>
      </c>
      <c r="G15" s="6" t="s">
        <v>115</v>
      </c>
      <c r="H15" s="6">
        <v>1</v>
      </c>
      <c r="I15" s="6">
        <v>574513714277.01416</v>
      </c>
      <c r="J15" s="6">
        <v>574513714277.01416</v>
      </c>
      <c r="K15" s="6">
        <v>63.864872683367629</v>
      </c>
      <c r="L15" s="6">
        <v>2.4800615101359619E-14</v>
      </c>
    </row>
    <row r="16" spans="1:12">
      <c r="A16">
        <v>746501.09</v>
      </c>
      <c r="B16">
        <v>59909.51</v>
      </c>
      <c r="G16" s="6" t="s">
        <v>116</v>
      </c>
      <c r="H16" s="6">
        <v>318</v>
      </c>
      <c r="I16" s="6">
        <v>2860654902513.7251</v>
      </c>
      <c r="J16" s="6">
        <v>8995770133.6909599</v>
      </c>
      <c r="K16" s="6"/>
      <c r="L16" s="6"/>
    </row>
    <row r="17" spans="1:15" ht="15" thickBot="1">
      <c r="A17">
        <v>834017.02</v>
      </c>
      <c r="B17">
        <v>75305.710000000006</v>
      </c>
      <c r="G17" s="7" t="s">
        <v>117</v>
      </c>
      <c r="H17" s="7">
        <v>319</v>
      </c>
      <c r="I17" s="7">
        <v>3435168616790.7393</v>
      </c>
      <c r="J17" s="7"/>
      <c r="K17" s="7"/>
      <c r="L17" s="7"/>
    </row>
    <row r="18" spans="1:15" ht="15" thickBot="1">
      <c r="A18">
        <v>666152.52</v>
      </c>
      <c r="B18">
        <v>48804.22</v>
      </c>
    </row>
    <row r="19" spans="1:15">
      <c r="A19">
        <v>573155.18999999994</v>
      </c>
      <c r="B19">
        <v>59117.9</v>
      </c>
      <c r="G19" s="8"/>
      <c r="H19" s="8" t="s">
        <v>124</v>
      </c>
      <c r="I19" s="8" t="s">
        <v>112</v>
      </c>
      <c r="J19" s="8" t="s">
        <v>125</v>
      </c>
      <c r="K19" s="8" t="s">
        <v>126</v>
      </c>
      <c r="L19" s="8" t="s">
        <v>127</v>
      </c>
      <c r="M19" s="8" t="s">
        <v>128</v>
      </c>
      <c r="N19" s="8" t="s">
        <v>129</v>
      </c>
      <c r="O19" s="8" t="s">
        <v>130</v>
      </c>
    </row>
    <row r="20" spans="1:15">
      <c r="A20">
        <v>666573.19999999995</v>
      </c>
      <c r="B20">
        <v>78831.12</v>
      </c>
      <c r="G20" s="6" t="s">
        <v>118</v>
      </c>
      <c r="H20" s="6">
        <v>560777.34544943704</v>
      </c>
      <c r="I20" s="6">
        <v>15906.905953068674</v>
      </c>
      <c r="J20" s="6">
        <v>35.253703460870398</v>
      </c>
      <c r="K20" s="6">
        <v>6.952876876284135E-112</v>
      </c>
      <c r="L20" s="6">
        <v>529481.27234763221</v>
      </c>
      <c r="M20" s="6">
        <v>592073.41855124186</v>
      </c>
      <c r="N20" s="6">
        <v>529481.27234763221</v>
      </c>
      <c r="O20" s="6">
        <v>592073.41855124186</v>
      </c>
    </row>
    <row r="21" spans="1:15" ht="15" thickBot="1">
      <c r="A21">
        <v>591619.94999999995</v>
      </c>
      <c r="B21">
        <v>41441.93</v>
      </c>
      <c r="G21" s="7" t="s">
        <v>4</v>
      </c>
      <c r="H21" s="7">
        <v>2.1295753275898281</v>
      </c>
      <c r="I21" s="7">
        <v>0.26647838106932348</v>
      </c>
      <c r="J21" s="7">
        <v>7.991550080138869</v>
      </c>
      <c r="K21" s="7">
        <v>2.4800615101360068E-14</v>
      </c>
      <c r="L21" s="7">
        <v>1.6052919176921738</v>
      </c>
      <c r="M21" s="7">
        <v>2.6538587374874822</v>
      </c>
      <c r="N21" s="7">
        <v>1.6052919176921738</v>
      </c>
      <c r="O21" s="7">
        <v>2.6538587374874822</v>
      </c>
    </row>
    <row r="22" spans="1:15">
      <c r="A22">
        <v>415721.82</v>
      </c>
      <c r="B22">
        <v>30356.28</v>
      </c>
    </row>
    <row r="23" spans="1:15">
      <c r="A23">
        <v>491905.13</v>
      </c>
      <c r="B23">
        <v>33518.879999999997</v>
      </c>
    </row>
    <row r="24" spans="1:15">
      <c r="A24">
        <v>555929.4</v>
      </c>
      <c r="B24">
        <v>42267.37</v>
      </c>
    </row>
    <row r="25" spans="1:15">
      <c r="A25">
        <v>565810.99</v>
      </c>
      <c r="B25">
        <v>62060.43</v>
      </c>
      <c r="G25" t="s">
        <v>131</v>
      </c>
    </row>
    <row r="26" spans="1:15" ht="15" thickBot="1">
      <c r="A26">
        <v>811771.14</v>
      </c>
      <c r="B26">
        <v>57696.69</v>
      </c>
    </row>
    <row r="27" spans="1:15">
      <c r="A27">
        <v>800451.94</v>
      </c>
      <c r="B27">
        <v>172415.52</v>
      </c>
      <c r="G27" s="8" t="s">
        <v>132</v>
      </c>
      <c r="H27" s="8" t="s">
        <v>133</v>
      </c>
      <c r="I27" s="8" t="s">
        <v>134</v>
      </c>
    </row>
    <row r="28" spans="1:15">
      <c r="A28">
        <v>783672.82</v>
      </c>
      <c r="B28">
        <v>55270.52</v>
      </c>
      <c r="G28" s="6">
        <v>1</v>
      </c>
      <c r="H28" s="6">
        <v>710676.25743644347</v>
      </c>
      <c r="I28" s="6">
        <v>-51843.637436443474</v>
      </c>
    </row>
    <row r="29" spans="1:15">
      <c r="A29">
        <v>701641.97</v>
      </c>
      <c r="B29">
        <v>52715.1</v>
      </c>
      <c r="G29" s="6">
        <v>2</v>
      </c>
      <c r="H29" s="6">
        <v>654112.13865375798</v>
      </c>
      <c r="I29" s="6">
        <v>-19676.138653757982</v>
      </c>
    </row>
    <row r="30" spans="1:15">
      <c r="A30">
        <v>511844.41</v>
      </c>
      <c r="B30">
        <v>68600.62</v>
      </c>
      <c r="G30" s="6">
        <v>3</v>
      </c>
      <c r="H30" s="6">
        <v>688385.22583544278</v>
      </c>
      <c r="I30" s="6">
        <v>-9663.16583544272</v>
      </c>
    </row>
    <row r="31" spans="1:15">
      <c r="A31">
        <v>537383.79</v>
      </c>
      <c r="B31">
        <v>63176.73</v>
      </c>
      <c r="G31" s="6">
        <v>4</v>
      </c>
      <c r="H31" s="6">
        <v>681857.82190734067</v>
      </c>
      <c r="I31" s="6">
        <v>-22937.521907340619</v>
      </c>
    </row>
    <row r="32" spans="1:15">
      <c r="A32">
        <v>500173.02</v>
      </c>
      <c r="B32">
        <v>44970.080000000002</v>
      </c>
      <c r="G32" s="6">
        <v>5</v>
      </c>
      <c r="H32" s="6">
        <v>663875.7091369254</v>
      </c>
      <c r="I32" s="6">
        <v>77465.730863074539</v>
      </c>
    </row>
    <row r="33" spans="1:9">
      <c r="A33">
        <v>427917.38</v>
      </c>
      <c r="B33">
        <v>69816.350000000006</v>
      </c>
      <c r="G33" s="6">
        <v>6</v>
      </c>
      <c r="H33" s="6">
        <v>698797.69921668014</v>
      </c>
      <c r="I33" s="6">
        <v>63037.640783319832</v>
      </c>
    </row>
    <row r="34" spans="1:9">
      <c r="A34">
        <v>641865.03</v>
      </c>
      <c r="B34">
        <v>54597.83</v>
      </c>
      <c r="G34" s="6">
        <v>7</v>
      </c>
      <c r="H34" s="6">
        <v>659192.36837224313</v>
      </c>
      <c r="I34" s="6">
        <v>147423.17162775691</v>
      </c>
    </row>
    <row r="35" spans="1:9">
      <c r="A35">
        <v>799477.76000000001</v>
      </c>
      <c r="B35">
        <v>73771.91</v>
      </c>
      <c r="G35" s="6">
        <v>8</v>
      </c>
      <c r="H35" s="6">
        <v>705904.752253199</v>
      </c>
      <c r="I35" s="6">
        <v>144259.50774680101</v>
      </c>
    </row>
    <row r="36" spans="1:9">
      <c r="A36">
        <v>798952.17</v>
      </c>
      <c r="B36">
        <v>74413.88</v>
      </c>
      <c r="G36" s="6">
        <v>9</v>
      </c>
      <c r="H36" s="6">
        <v>713763.60926761688</v>
      </c>
      <c r="I36" s="6">
        <v>216818.09073238308</v>
      </c>
    </row>
    <row r="37" spans="1:9">
      <c r="A37">
        <v>800979.78</v>
      </c>
      <c r="B37">
        <v>52483.77</v>
      </c>
      <c r="G37" s="6">
        <v>10</v>
      </c>
      <c r="H37" s="6">
        <v>705872.63825725892</v>
      </c>
      <c r="I37" s="6">
        <v>73138.301742741023</v>
      </c>
    </row>
    <row r="38" spans="1:9">
      <c r="A38">
        <v>820593.93</v>
      </c>
      <c r="B38">
        <v>75269.87</v>
      </c>
      <c r="G38" s="6">
        <v>11</v>
      </c>
      <c r="H38" s="6">
        <v>633790.28276667313</v>
      </c>
      <c r="I38" s="6">
        <v>89270.477233326877</v>
      </c>
    </row>
    <row r="39" spans="1:9">
      <c r="A39">
        <v>718330.53</v>
      </c>
      <c r="B39">
        <v>61245.41</v>
      </c>
      <c r="G39" s="6">
        <v>12</v>
      </c>
      <c r="H39" s="6">
        <v>705545.62066995422</v>
      </c>
      <c r="I39" s="6">
        <v>205246.31933004572</v>
      </c>
    </row>
    <row r="40" spans="1:9">
      <c r="A40">
        <v>736633.4</v>
      </c>
      <c r="B40">
        <v>93381.26</v>
      </c>
      <c r="G40" s="6">
        <v>13</v>
      </c>
      <c r="H40" s="6">
        <v>713741.03576914431</v>
      </c>
      <c r="I40" s="6">
        <v>208427.56423085567</v>
      </c>
    </row>
    <row r="41" spans="1:9">
      <c r="A41">
        <v>828623.85</v>
      </c>
      <c r="B41">
        <v>65012.19</v>
      </c>
      <c r="G41" s="6">
        <v>14</v>
      </c>
      <c r="H41" s="6">
        <v>679430.51065320056</v>
      </c>
      <c r="I41" s="6">
        <v>47175.769346799469</v>
      </c>
    </row>
    <row r="42" spans="1:9">
      <c r="A42">
        <v>592195.85</v>
      </c>
      <c r="B42">
        <v>40462.94</v>
      </c>
      <c r="G42" s="6">
        <v>15</v>
      </c>
      <c r="H42" s="6">
        <v>688359.15983343311</v>
      </c>
      <c r="I42" s="6">
        <v>58141.930166566861</v>
      </c>
    </row>
    <row r="43" spans="1:9">
      <c r="A43">
        <v>532644.46</v>
      </c>
      <c r="B43">
        <v>46123.88</v>
      </c>
      <c r="G43" s="6">
        <v>16</v>
      </c>
      <c r="H43" s="6">
        <v>721146.52749207162</v>
      </c>
      <c r="I43" s="6">
        <v>112870.4925079284</v>
      </c>
    </row>
    <row r="44" spans="1:9">
      <c r="A44">
        <v>657429.18000000005</v>
      </c>
      <c r="B44">
        <v>68077.539999999994</v>
      </c>
      <c r="G44" s="6">
        <v>17</v>
      </c>
      <c r="H44" s="6">
        <v>664709.60824370314</v>
      </c>
      <c r="I44" s="6">
        <v>1442.911756296875</v>
      </c>
    </row>
    <row r="45" spans="1:9">
      <c r="A45">
        <v>605178</v>
      </c>
      <c r="B45">
        <v>64882.14</v>
      </c>
      <c r="G45" s="6">
        <v>18</v>
      </c>
      <c r="H45" s="6">
        <v>686673.36670835968</v>
      </c>
      <c r="I45" s="6">
        <v>-113518.17670835974</v>
      </c>
    </row>
    <row r="46" spans="1:9">
      <c r="A46">
        <v>595467.6</v>
      </c>
      <c r="B46">
        <v>138855.51</v>
      </c>
      <c r="G46" s="6">
        <v>19</v>
      </c>
      <c r="H46" s="6">
        <v>728654.1536477101</v>
      </c>
      <c r="I46" s="6">
        <v>-62080.95364771015</v>
      </c>
    </row>
    <row r="47" spans="1:9">
      <c r="A47">
        <v>599603.4</v>
      </c>
      <c r="B47">
        <v>63630.21</v>
      </c>
      <c r="G47" s="6">
        <v>20</v>
      </c>
      <c r="H47" s="6">
        <v>649031.05710514181</v>
      </c>
      <c r="I47" s="6">
        <v>-57411.107105141855</v>
      </c>
    </row>
    <row r="48" spans="1:9">
      <c r="A48">
        <v>614800.09</v>
      </c>
      <c r="B48">
        <v>50043.65</v>
      </c>
      <c r="G48" s="6">
        <v>21</v>
      </c>
      <c r="H48" s="6">
        <v>625423.33037484554</v>
      </c>
      <c r="I48" s="6">
        <v>-209701.51037484553</v>
      </c>
    </row>
    <row r="49" spans="1:9">
      <c r="A49">
        <v>585365.73</v>
      </c>
      <c r="B49">
        <v>42093.84</v>
      </c>
      <c r="G49" s="6">
        <v>22</v>
      </c>
      <c r="H49" s="6">
        <v>632158.32530588121</v>
      </c>
      <c r="I49" s="6">
        <v>-140253.19530588121</v>
      </c>
    </row>
    <row r="50" spans="1:9">
      <c r="A50">
        <v>622811.74</v>
      </c>
      <c r="B50">
        <v>46624.05</v>
      </c>
      <c r="G50" s="6">
        <v>23</v>
      </c>
      <c r="H50" s="6">
        <v>650788.89376354753</v>
      </c>
      <c r="I50" s="6">
        <v>-94859.493763547507</v>
      </c>
    </row>
    <row r="51" spans="1:9">
      <c r="A51">
        <v>603297.56999999995</v>
      </c>
      <c r="B51">
        <v>49710.29</v>
      </c>
      <c r="G51" s="6">
        <v>24</v>
      </c>
      <c r="H51" s="6">
        <v>692939.7059970526</v>
      </c>
      <c r="I51" s="6">
        <v>-127128.71599705261</v>
      </c>
    </row>
    <row r="52" spans="1:9">
      <c r="A52">
        <v>625672.86</v>
      </c>
      <c r="B52">
        <v>48287.85</v>
      </c>
      <c r="G52" s="6">
        <v>25</v>
      </c>
      <c r="H52" s="6">
        <v>683646.79295703582</v>
      </c>
      <c r="I52" s="6">
        <v>128124.34704296419</v>
      </c>
    </row>
    <row r="53" spans="1:9">
      <c r="A53">
        <v>773815.14</v>
      </c>
      <c r="B53">
        <v>65312.49</v>
      </c>
      <c r="G53" s="6">
        <v>26</v>
      </c>
      <c r="H53" s="6">
        <v>927949.18293500762</v>
      </c>
      <c r="I53" s="6">
        <v>-127497.24293500767</v>
      </c>
    </row>
    <row r="54" spans="1:9">
      <c r="A54">
        <v>463534.25</v>
      </c>
      <c r="B54">
        <v>53015.46</v>
      </c>
      <c r="G54" s="6">
        <v>27</v>
      </c>
      <c r="H54" s="6">
        <v>678480.08118449722</v>
      </c>
      <c r="I54" s="6">
        <v>105192.73881550273</v>
      </c>
    </row>
    <row r="55" spans="1:9">
      <c r="A55">
        <v>746677.75</v>
      </c>
      <c r="B55">
        <v>99874.01</v>
      </c>
      <c r="G55" s="6">
        <v>28</v>
      </c>
      <c r="H55" s="6">
        <v>673038.12180086761</v>
      </c>
      <c r="I55" s="6">
        <v>28603.848199132364</v>
      </c>
    </row>
    <row r="56" spans="1:9">
      <c r="A56">
        <v>720852.5</v>
      </c>
      <c r="B56">
        <v>81195.5</v>
      </c>
      <c r="G56" s="6">
        <v>29</v>
      </c>
      <c r="H56" s="6">
        <v>706867.53325880237</v>
      </c>
      <c r="I56" s="6">
        <v>-195023.1232588024</v>
      </c>
    </row>
    <row r="57" spans="1:9">
      <c r="A57">
        <v>487464.91</v>
      </c>
      <c r="B57">
        <v>27808.6</v>
      </c>
      <c r="G57" s="6">
        <v>30</v>
      </c>
      <c r="H57" s="6">
        <v>695316.95093524118</v>
      </c>
      <c r="I57" s="6">
        <v>-157933.16093524115</v>
      </c>
    </row>
    <row r="58" spans="1:9">
      <c r="A58">
        <v>518049.26</v>
      </c>
      <c r="B58">
        <v>19365.060000000001</v>
      </c>
      <c r="G58" s="6">
        <v>31</v>
      </c>
      <c r="H58" s="6">
        <v>656544.51829717786</v>
      </c>
      <c r="I58" s="6">
        <v>-156371.49829717784</v>
      </c>
    </row>
    <row r="59" spans="1:9">
      <c r="A59">
        <v>500298.48</v>
      </c>
      <c r="B59">
        <v>59405.68</v>
      </c>
      <c r="G59" s="6">
        <v>32</v>
      </c>
      <c r="H59" s="6">
        <v>709456.52187181311</v>
      </c>
      <c r="I59" s="6">
        <v>-281539.1418718131</v>
      </c>
    </row>
    <row r="60" spans="1:9">
      <c r="A60">
        <v>617291.15</v>
      </c>
      <c r="B60">
        <v>118910.48</v>
      </c>
      <c r="G60" s="6">
        <v>33</v>
      </c>
      <c r="H60" s="6">
        <v>677047.53715738084</v>
      </c>
      <c r="I60" s="6">
        <v>-35182.507157380809</v>
      </c>
    </row>
    <row r="61" spans="1:9">
      <c r="A61">
        <v>553756.43000000005</v>
      </c>
      <c r="B61">
        <v>52952.12</v>
      </c>
      <c r="G61" s="6">
        <v>34</v>
      </c>
      <c r="H61" s="6">
        <v>717880.18485461432</v>
      </c>
      <c r="I61" s="6">
        <v>81597.575145385694</v>
      </c>
    </row>
    <row r="62" spans="1:9">
      <c r="A62">
        <v>749559.71</v>
      </c>
      <c r="B62">
        <v>74907.98</v>
      </c>
      <c r="G62" s="6">
        <v>35</v>
      </c>
      <c r="H62" s="6">
        <v>719247.30832766718</v>
      </c>
      <c r="I62" s="6">
        <v>79704.86167233286</v>
      </c>
    </row>
    <row r="63" spans="1:9">
      <c r="A63">
        <v>615966.48</v>
      </c>
      <c r="B63">
        <v>37284.660000000003</v>
      </c>
      <c r="G63" s="6">
        <v>36</v>
      </c>
      <c r="H63" s="6">
        <v>672545.48714033619</v>
      </c>
      <c r="I63" s="6">
        <v>128434.29285966384</v>
      </c>
    </row>
    <row r="64" spans="1:9">
      <c r="A64">
        <v>572011.19999999995</v>
      </c>
      <c r="B64">
        <v>50343.19</v>
      </c>
      <c r="G64" s="6">
        <v>37</v>
      </c>
      <c r="H64" s="6">
        <v>721070.20351233077</v>
      </c>
      <c r="I64" s="6">
        <v>99523.726487669279</v>
      </c>
    </row>
    <row r="65" spans="1:9">
      <c r="A65">
        <v>761860.19</v>
      </c>
      <c r="B65">
        <v>74954.47</v>
      </c>
      <c r="G65" s="6">
        <v>38</v>
      </c>
      <c r="H65" s="6">
        <v>691204.05951356038</v>
      </c>
      <c r="I65" s="6">
        <v>27126.470486439648</v>
      </c>
    </row>
    <row r="66" spans="1:9">
      <c r="A66">
        <v>784502.68</v>
      </c>
      <c r="B66">
        <v>70040.31</v>
      </c>
      <c r="G66" s="6">
        <v>39</v>
      </c>
      <c r="H66" s="6">
        <v>759639.77280468796</v>
      </c>
      <c r="I66" s="6">
        <v>-23006.372804687941</v>
      </c>
    </row>
    <row r="67" spans="1:9">
      <c r="A67">
        <v>717141.55</v>
      </c>
      <c r="B67">
        <v>51148.69</v>
      </c>
      <c r="G67" s="6">
        <v>40</v>
      </c>
      <c r="H67" s="6">
        <v>699225.70126601914</v>
      </c>
      <c r="I67" s="6">
        <v>129398.14873398084</v>
      </c>
    </row>
    <row r="68" spans="1:9">
      <c r="A68">
        <v>685379.08</v>
      </c>
      <c r="B68">
        <v>79346.100000000006</v>
      </c>
      <c r="G68" s="6">
        <v>41</v>
      </c>
      <c r="H68" s="6">
        <v>646946.22415518458</v>
      </c>
      <c r="I68" s="6">
        <v>-54750.374155184603</v>
      </c>
    </row>
    <row r="69" spans="1:9">
      <c r="A69">
        <v>740496.65</v>
      </c>
      <c r="B69">
        <v>42018.400000000001</v>
      </c>
      <c r="G69" s="6">
        <v>42</v>
      </c>
      <c r="H69" s="6">
        <v>659001.622310151</v>
      </c>
      <c r="I69" s="6">
        <v>-126357.16231015103</v>
      </c>
    </row>
    <row r="70" spans="1:9">
      <c r="A70">
        <v>661927.14</v>
      </c>
      <c r="B70">
        <v>70937.240000000005</v>
      </c>
      <c r="G70" s="6">
        <v>43</v>
      </c>
      <c r="H70" s="6">
        <v>705753.59499644663</v>
      </c>
      <c r="I70" s="6">
        <v>-48324.414996446576</v>
      </c>
    </row>
    <row r="71" spans="1:9">
      <c r="A71">
        <v>479050.5</v>
      </c>
      <c r="B71">
        <v>36813.449999999997</v>
      </c>
      <c r="G71" s="6">
        <v>44</v>
      </c>
      <c r="H71" s="6">
        <v>698948.74999466608</v>
      </c>
      <c r="I71" s="6">
        <v>-93770.749994666083</v>
      </c>
    </row>
    <row r="72" spans="1:9">
      <c r="A72">
        <v>605023.87</v>
      </c>
      <c r="B72">
        <v>60571.82</v>
      </c>
      <c r="G72" s="6">
        <v>45</v>
      </c>
      <c r="H72" s="6">
        <v>856480.61364533973</v>
      </c>
      <c r="I72" s="6">
        <v>-261013.01364533976</v>
      </c>
    </row>
    <row r="73" spans="1:9">
      <c r="A73">
        <v>674774.09</v>
      </c>
      <c r="B73">
        <v>55081.16</v>
      </c>
      <c r="G73" s="6">
        <v>46</v>
      </c>
      <c r="H73" s="6">
        <v>696282.67075479659</v>
      </c>
      <c r="I73" s="6">
        <v>-96679.270754796569</v>
      </c>
    </row>
    <row r="74" spans="1:9">
      <c r="A74">
        <v>616069.41</v>
      </c>
      <c r="B74">
        <v>46201.46</v>
      </c>
      <c r="G74" s="6">
        <v>47</v>
      </c>
      <c r="H74" s="6">
        <v>667349.06779197778</v>
      </c>
      <c r="I74" s="6">
        <v>-52548.977791977813</v>
      </c>
    </row>
    <row r="75" spans="1:9">
      <c r="A75">
        <v>630829.93999999994</v>
      </c>
      <c r="B75">
        <v>53762.92</v>
      </c>
      <c r="G75" s="6">
        <v>48</v>
      </c>
      <c r="H75" s="6">
        <v>650419.3485569508</v>
      </c>
      <c r="I75" s="6">
        <v>-65053.618556950823</v>
      </c>
    </row>
    <row r="76" spans="1:9">
      <c r="A76">
        <v>788087.68</v>
      </c>
      <c r="B76">
        <v>70144.78</v>
      </c>
      <c r="G76" s="6">
        <v>49</v>
      </c>
      <c r="H76" s="6">
        <v>660066.77200175158</v>
      </c>
      <c r="I76" s="6">
        <v>-37255.032001751591</v>
      </c>
    </row>
    <row r="77" spans="1:9">
      <c r="A77">
        <v>680840.36</v>
      </c>
      <c r="B77">
        <v>58749.63</v>
      </c>
      <c r="G77" s="6">
        <v>50</v>
      </c>
      <c r="H77" s="6">
        <v>666639.15256077237</v>
      </c>
      <c r="I77" s="6">
        <v>-63341.582560772425</v>
      </c>
    </row>
    <row r="78" spans="1:9">
      <c r="A78">
        <v>643657.47</v>
      </c>
      <c r="B78">
        <v>56973.18</v>
      </c>
      <c r="G78" s="6">
        <v>51</v>
      </c>
      <c r="H78" s="6">
        <v>663609.95943179552</v>
      </c>
      <c r="I78" s="6">
        <v>-37937.099431795534</v>
      </c>
    </row>
    <row r="79" spans="1:9">
      <c r="A79">
        <v>691112.6</v>
      </c>
      <c r="B79">
        <v>54872.82</v>
      </c>
      <c r="G79" s="6">
        <v>52</v>
      </c>
      <c r="H79" s="6">
        <v>699865.21273689438</v>
      </c>
      <c r="I79" s="6">
        <v>73949.927263105637</v>
      </c>
    </row>
    <row r="80" spans="1:9">
      <c r="A80">
        <v>776922.17</v>
      </c>
      <c r="B80">
        <v>80562.81</v>
      </c>
      <c r="G80" s="6">
        <v>53</v>
      </c>
      <c r="H80" s="6">
        <v>673677.76104626246</v>
      </c>
      <c r="I80" s="6">
        <v>-210143.51104626246</v>
      </c>
    </row>
    <row r="81" spans="1:9">
      <c r="A81">
        <v>636561.34</v>
      </c>
      <c r="B81">
        <v>77999.899999999994</v>
      </c>
      <c r="G81" s="6">
        <v>54</v>
      </c>
      <c r="H81" s="6">
        <v>773466.57301289681</v>
      </c>
      <c r="I81" s="6">
        <v>-26788.823012896813</v>
      </c>
    </row>
    <row r="82" spans="1:9">
      <c r="A82">
        <v>621369.57999999996</v>
      </c>
      <c r="B82">
        <v>60881.01</v>
      </c>
      <c r="G82" s="6">
        <v>55</v>
      </c>
      <c r="H82" s="6">
        <v>733689.27896075696</v>
      </c>
      <c r="I82" s="6">
        <v>-12836.778960756958</v>
      </c>
    </row>
    <row r="83" spans="1:9">
      <c r="A83">
        <v>682208.01</v>
      </c>
      <c r="B83">
        <v>60628.38</v>
      </c>
      <c r="G83" s="6">
        <v>56</v>
      </c>
      <c r="H83" s="6">
        <v>619997.85390425147</v>
      </c>
      <c r="I83" s="6">
        <v>-132532.9439042515</v>
      </c>
    </row>
    <row r="84" spans="1:9">
      <c r="A84">
        <v>727241.86</v>
      </c>
      <c r="B84">
        <v>72731.14</v>
      </c>
      <c r="G84" s="6">
        <v>57</v>
      </c>
      <c r="H84" s="6">
        <v>602016.69944273378</v>
      </c>
      <c r="I84" s="6">
        <v>-83967.439442733768</v>
      </c>
    </row>
    <row r="85" spans="1:9">
      <c r="A85">
        <v>569100.78</v>
      </c>
      <c r="B85">
        <v>36475.71</v>
      </c>
      <c r="G85" s="6">
        <v>58</v>
      </c>
      <c r="H85" s="6">
        <v>687286.21589613357</v>
      </c>
      <c r="I85" s="6">
        <v>-186987.73589613358</v>
      </c>
    </row>
    <row r="86" spans="1:9">
      <c r="A86">
        <v>574436.29</v>
      </c>
      <c r="B86">
        <v>55388.11</v>
      </c>
      <c r="G86" s="6">
        <v>59</v>
      </c>
      <c r="H86" s="6">
        <v>814006.16984930076</v>
      </c>
      <c r="I86" s="6">
        <v>-196715.01984930073</v>
      </c>
    </row>
    <row r="87" spans="1:9">
      <c r="A87">
        <v>611766.72</v>
      </c>
      <c r="B87">
        <v>88443.77</v>
      </c>
      <c r="G87" s="6">
        <v>60</v>
      </c>
      <c r="H87" s="6">
        <v>673542.87374501291</v>
      </c>
      <c r="I87" s="6">
        <v>-119786.44374501286</v>
      </c>
    </row>
    <row r="88" spans="1:9">
      <c r="A88">
        <v>614596.31999999995</v>
      </c>
      <c r="B88">
        <v>78231.91</v>
      </c>
      <c r="G88" s="6">
        <v>61</v>
      </c>
      <c r="H88" s="6">
        <v>720299.53149702935</v>
      </c>
      <c r="I88" s="6">
        <v>29260.178502970608</v>
      </c>
    </row>
    <row r="89" spans="1:9">
      <c r="A89">
        <v>450711.92</v>
      </c>
      <c r="B89">
        <v>18996.32</v>
      </c>
      <c r="G89" s="6">
        <v>62</v>
      </c>
      <c r="H89" s="6">
        <v>640177.83748301235</v>
      </c>
      <c r="I89" s="6">
        <v>-24211.357483012369</v>
      </c>
    </row>
    <row r="90" spans="1:9">
      <c r="A90">
        <v>711213.46</v>
      </c>
      <c r="B90">
        <v>50517.94</v>
      </c>
      <c r="G90" s="6">
        <v>63</v>
      </c>
      <c r="H90" s="6">
        <v>667986.96078560397</v>
      </c>
      <c r="I90" s="6">
        <v>-95975.760785604012</v>
      </c>
    </row>
    <row r="91" spans="1:9">
      <c r="A91">
        <v>627171.9</v>
      </c>
      <c r="B91">
        <v>141540.29</v>
      </c>
      <c r="G91" s="6">
        <v>64</v>
      </c>
      <c r="H91" s="6">
        <v>720398.53545400896</v>
      </c>
      <c r="I91" s="6">
        <v>41461.654545990983</v>
      </c>
    </row>
    <row r="92" spans="1:9">
      <c r="A92">
        <v>739852.58</v>
      </c>
      <c r="B92">
        <v>82116.19</v>
      </c>
      <c r="G92" s="6">
        <v>65</v>
      </c>
      <c r="H92" s="6">
        <v>709933.46156218019</v>
      </c>
      <c r="I92" s="6">
        <v>74569.218437819858</v>
      </c>
    </row>
    <row r="93" spans="1:9">
      <c r="A93">
        <v>586307.22</v>
      </c>
      <c r="B93">
        <v>31207.51</v>
      </c>
      <c r="G93" s="6">
        <v>66</v>
      </c>
      <c r="H93" s="6">
        <v>669702.33371197758</v>
      </c>
      <c r="I93" s="6">
        <v>47439.216288022464</v>
      </c>
    </row>
    <row r="94" spans="1:9">
      <c r="A94">
        <v>585937.48</v>
      </c>
      <c r="B94">
        <v>38966.589999999997</v>
      </c>
      <c r="G94" s="6">
        <v>67</v>
      </c>
      <c r="H94" s="6">
        <v>729750.84234991227</v>
      </c>
      <c r="I94" s="6">
        <v>-44371.762349912315</v>
      </c>
    </row>
    <row r="95" spans="1:9">
      <c r="A95">
        <v>753473.55</v>
      </c>
      <c r="B95">
        <v>67439.3</v>
      </c>
      <c r="G95" s="6">
        <v>68</v>
      </c>
      <c r="H95" s="6">
        <v>650258.69339423743</v>
      </c>
      <c r="I95" s="6">
        <v>90237.956605762593</v>
      </c>
    </row>
    <row r="96" spans="1:9">
      <c r="A96">
        <v>838250.32</v>
      </c>
      <c r="B96">
        <v>86421.88</v>
      </c>
      <c r="G96" s="6">
        <v>69</v>
      </c>
      <c r="H96" s="6">
        <v>711843.54156075534</v>
      </c>
      <c r="I96" s="6">
        <v>-49916.40156075533</v>
      </c>
    </row>
    <row r="97" spans="1:9">
      <c r="A97">
        <v>607898.12</v>
      </c>
      <c r="B97">
        <v>9534.65</v>
      </c>
      <c r="G97" s="6">
        <v>70</v>
      </c>
      <c r="H97" s="6">
        <v>639174.36029289884</v>
      </c>
      <c r="I97" s="6">
        <v>-160123.86029289884</v>
      </c>
    </row>
    <row r="98" spans="1:9">
      <c r="A98">
        <v>691113.62</v>
      </c>
      <c r="B98">
        <v>61132.07</v>
      </c>
      <c r="G98" s="6">
        <v>71</v>
      </c>
      <c r="H98" s="6">
        <v>689769.5988686491</v>
      </c>
      <c r="I98" s="6">
        <v>-84745.728868649108</v>
      </c>
    </row>
    <row r="99" spans="1:9">
      <c r="A99">
        <v>735509.4</v>
      </c>
      <c r="B99">
        <v>78839.39</v>
      </c>
      <c r="G99" s="6">
        <v>72</v>
      </c>
      <c r="H99" s="6">
        <v>678076.82480046479</v>
      </c>
      <c r="I99" s="6">
        <v>-3302.7348004648229</v>
      </c>
    </row>
    <row r="100" spans="1:9">
      <c r="A100">
        <v>605775.32999999996</v>
      </c>
      <c r="B100">
        <v>38752.800000000003</v>
      </c>
      <c r="G100" s="6">
        <v>73</v>
      </c>
      <c r="H100" s="6">
        <v>659166.83476406534</v>
      </c>
      <c r="I100" s="6">
        <v>-43097.424764065305</v>
      </c>
    </row>
    <row r="101" spans="1:9">
      <c r="A101">
        <v>675177.68</v>
      </c>
      <c r="B101">
        <v>55101.1</v>
      </c>
      <c r="G101" s="6">
        <v>74</v>
      </c>
      <c r="H101" s="6">
        <v>675269.53342062281</v>
      </c>
      <c r="I101" s="6">
        <v>-44439.59342062287</v>
      </c>
    </row>
    <row r="102" spans="1:9">
      <c r="A102">
        <v>635181.35</v>
      </c>
      <c r="B102">
        <v>53084.76</v>
      </c>
      <c r="G102" s="6">
        <v>75</v>
      </c>
      <c r="H102" s="6">
        <v>710155.93829665345</v>
      </c>
      <c r="I102" s="6">
        <v>77931.741703346604</v>
      </c>
    </row>
    <row r="103" spans="1:9">
      <c r="A103">
        <v>586626.93999999994</v>
      </c>
      <c r="B103">
        <v>63101.59</v>
      </c>
      <c r="G103" s="6">
        <v>76</v>
      </c>
      <c r="H103" s="6">
        <v>685889.10800246825</v>
      </c>
      <c r="I103" s="6">
        <v>-5048.7480024682591</v>
      </c>
    </row>
    <row r="104" spans="1:9">
      <c r="A104">
        <v>740102.64</v>
      </c>
      <c r="B104">
        <v>90084.4</v>
      </c>
      <c r="G104" s="6">
        <v>77</v>
      </c>
      <c r="H104" s="6">
        <v>682106.02391177125</v>
      </c>
      <c r="I104" s="6">
        <v>-38448.553911771276</v>
      </c>
    </row>
    <row r="105" spans="1:9">
      <c r="A105">
        <v>625514.04</v>
      </c>
      <c r="B105">
        <v>32266.639999999999</v>
      </c>
      <c r="G105" s="6">
        <v>78</v>
      </c>
      <c r="H105" s="6">
        <v>677633.14907671465</v>
      </c>
      <c r="I105" s="6">
        <v>13479.450923285331</v>
      </c>
    </row>
    <row r="106" spans="1:9">
      <c r="A106">
        <v>727227.2</v>
      </c>
      <c r="B106">
        <v>57919.07</v>
      </c>
      <c r="G106" s="6">
        <v>79</v>
      </c>
      <c r="H106" s="6">
        <v>732341.91794674413</v>
      </c>
      <c r="I106" s="6">
        <v>44580.252053255914</v>
      </c>
    </row>
    <row r="107" spans="1:9">
      <c r="A107">
        <v>783797.89</v>
      </c>
      <c r="B107">
        <v>74679.350000000006</v>
      </c>
      <c r="G107" s="6">
        <v>80</v>
      </c>
      <c r="H107" s="6">
        <v>726884.00804391084</v>
      </c>
      <c r="I107" s="6">
        <v>-90322.668043910875</v>
      </c>
    </row>
    <row r="108" spans="1:9">
      <c r="A108">
        <v>795153.84</v>
      </c>
      <c r="B108">
        <v>64294.23</v>
      </c>
      <c r="G108" s="6">
        <v>81</v>
      </c>
      <c r="H108" s="6">
        <v>690428.04226418666</v>
      </c>
      <c r="I108" s="6">
        <v>-69058.462264186703</v>
      </c>
    </row>
    <row r="109" spans="1:9">
      <c r="A109">
        <v>665594.93999999994</v>
      </c>
      <c r="B109">
        <v>31042.03</v>
      </c>
      <c r="G109" s="6">
        <v>82</v>
      </c>
      <c r="H109" s="6">
        <v>689890.04764917761</v>
      </c>
      <c r="I109" s="6">
        <v>-7682.0376491775969</v>
      </c>
    </row>
    <row r="110" spans="1:9">
      <c r="A110">
        <v>709478.39</v>
      </c>
      <c r="B110">
        <v>75265.02</v>
      </c>
      <c r="G110" s="6">
        <v>83</v>
      </c>
      <c r="H110" s="6">
        <v>715663.78674091864</v>
      </c>
      <c r="I110" s="6">
        <v>11578.073259081342</v>
      </c>
    </row>
    <row r="111" spans="1:9">
      <c r="A111">
        <v>664162.49</v>
      </c>
      <c r="B111">
        <v>69411.7</v>
      </c>
      <c r="G111" s="6">
        <v>84</v>
      </c>
      <c r="H111" s="6">
        <v>638455.11752175866</v>
      </c>
      <c r="I111" s="6">
        <v>-69354.337521758629</v>
      </c>
    </row>
    <row r="112" spans="1:9">
      <c r="A112">
        <v>633494.21</v>
      </c>
      <c r="B112">
        <v>51056.15</v>
      </c>
      <c r="G112" s="6">
        <v>85</v>
      </c>
      <c r="H112" s="6">
        <v>678730.49794726842</v>
      </c>
      <c r="I112" s="6">
        <v>-104294.20794726838</v>
      </c>
    </row>
    <row r="113" spans="1:9">
      <c r="A113">
        <v>713611.16</v>
      </c>
      <c r="B113">
        <v>52758.01</v>
      </c>
      <c r="G113" s="6">
        <v>86</v>
      </c>
      <c r="H113" s="6">
        <v>749125.01592046651</v>
      </c>
      <c r="I113" s="6">
        <v>-137358.29592046654</v>
      </c>
    </row>
    <row r="114" spans="1:9">
      <c r="A114">
        <v>778397.97</v>
      </c>
      <c r="B114">
        <v>61426.04</v>
      </c>
      <c r="G114" s="6">
        <v>87</v>
      </c>
      <c r="H114" s="6">
        <v>727378.09081566497</v>
      </c>
      <c r="I114" s="6">
        <v>-112781.77081566502</v>
      </c>
    </row>
    <row r="115" spans="1:9">
      <c r="A115">
        <v>873380.02</v>
      </c>
      <c r="B115">
        <v>80176.34</v>
      </c>
      <c r="G115" s="6">
        <v>88</v>
      </c>
      <c r="H115" s="6">
        <v>601231.43983643828</v>
      </c>
      <c r="I115" s="6">
        <v>-150519.5198364383</v>
      </c>
    </row>
    <row r="116" spans="1:9">
      <c r="A116">
        <v>697287.9</v>
      </c>
      <c r="B116">
        <v>33605.18</v>
      </c>
      <c r="G116" s="6">
        <v>89</v>
      </c>
      <c r="H116" s="6">
        <v>668359.10407410027</v>
      </c>
      <c r="I116" s="6">
        <v>42854.355925899697</v>
      </c>
    </row>
    <row r="117" spans="1:9">
      <c r="A117">
        <v>718074.79</v>
      </c>
      <c r="B117">
        <v>25990.54</v>
      </c>
      <c r="G117" s="6">
        <v>90</v>
      </c>
      <c r="H117" s="6">
        <v>862198.05489334627</v>
      </c>
      <c r="I117" s="6">
        <v>-235026.15489334625</v>
      </c>
    </row>
    <row r="118" spans="1:9">
      <c r="A118">
        <v>714942.43</v>
      </c>
      <c r="B118">
        <v>43685.14</v>
      </c>
      <c r="G118" s="6">
        <v>91</v>
      </c>
      <c r="H118" s="6">
        <v>735649.95766911563</v>
      </c>
      <c r="I118" s="6">
        <v>4202.6223308843328</v>
      </c>
    </row>
    <row r="119" spans="1:9">
      <c r="A119">
        <v>820519.04</v>
      </c>
      <c r="B119">
        <v>57360.01</v>
      </c>
      <c r="G119" s="6">
        <v>92</v>
      </c>
      <c r="H119" s="6">
        <v>627236.08878094982</v>
      </c>
      <c r="I119" s="6">
        <v>-40928.868780949851</v>
      </c>
    </row>
    <row r="120" spans="1:9">
      <c r="A120">
        <v>684217.32</v>
      </c>
      <c r="B120">
        <v>42415.47</v>
      </c>
      <c r="G120" s="6">
        <v>93</v>
      </c>
      <c r="H120" s="6">
        <v>643759.63411374553</v>
      </c>
      <c r="I120" s="6">
        <v>-57822.15411374555</v>
      </c>
    </row>
    <row r="121" spans="1:9">
      <c r="A121">
        <v>735480.19</v>
      </c>
      <c r="B121">
        <v>54968.98</v>
      </c>
      <c r="G121" s="6">
        <v>94</v>
      </c>
      <c r="H121" s="6">
        <v>704394.41483936575</v>
      </c>
      <c r="I121" s="6">
        <v>49079.135160634294</v>
      </c>
    </row>
    <row r="122" spans="1:9">
      <c r="A122">
        <v>509484.81</v>
      </c>
      <c r="B122">
        <v>43896.13</v>
      </c>
      <c r="G122" s="6">
        <v>95</v>
      </c>
      <c r="H122" s="6">
        <v>744819.24886136584</v>
      </c>
      <c r="I122" s="6">
        <v>93431.071138634114</v>
      </c>
    </row>
    <row r="123" spans="1:9">
      <c r="A123">
        <v>654317.09</v>
      </c>
      <c r="B123">
        <v>83044.17</v>
      </c>
      <c r="G123" s="6">
        <v>96</v>
      </c>
      <c r="H123" s="6">
        <v>581082.10084664135</v>
      </c>
      <c r="I123" s="6">
        <v>26816.019153358648</v>
      </c>
    </row>
    <row r="124" spans="1:9">
      <c r="A124">
        <v>557487.26</v>
      </c>
      <c r="B124">
        <v>48396.13</v>
      </c>
      <c r="G124" s="6">
        <v>97</v>
      </c>
      <c r="H124" s="6">
        <v>690962.69344593131</v>
      </c>
      <c r="I124" s="6">
        <v>150.92655406869017</v>
      </c>
    </row>
    <row r="125" spans="1:9">
      <c r="A125">
        <v>441275.42</v>
      </c>
      <c r="B125">
        <v>19063.48</v>
      </c>
      <c r="G125" s="6">
        <v>98</v>
      </c>
      <c r="H125" s="6">
        <v>728671.76523566921</v>
      </c>
      <c r="I125" s="6">
        <v>6837.6347643308109</v>
      </c>
    </row>
    <row r="126" spans="1:9">
      <c r="A126">
        <v>914544.17</v>
      </c>
      <c r="B126">
        <v>61541.21</v>
      </c>
      <c r="G126" s="6">
        <v>99</v>
      </c>
      <c r="H126" s="6">
        <v>643304.35220446019</v>
      </c>
      <c r="I126" s="6">
        <v>-37529.022204460227</v>
      </c>
    </row>
    <row r="127" spans="1:9">
      <c r="A127">
        <v>842439.67</v>
      </c>
      <c r="B127">
        <v>44747</v>
      </c>
      <c r="G127" s="6">
        <v>100</v>
      </c>
      <c r="H127" s="6">
        <v>678119.2885324969</v>
      </c>
      <c r="I127" s="6">
        <v>-2941.6085324968444</v>
      </c>
    </row>
    <row r="128" spans="1:9">
      <c r="A128">
        <v>842157.92</v>
      </c>
      <c r="B128">
        <v>56517.9</v>
      </c>
      <c r="G128" s="6">
        <v>101</v>
      </c>
      <c r="H128" s="6">
        <v>673825.3406164645</v>
      </c>
      <c r="I128" s="6">
        <v>-38643.990616464522</v>
      </c>
    </row>
    <row r="129" spans="1:9">
      <c r="A129">
        <v>697155.3</v>
      </c>
      <c r="B129">
        <v>37828.5</v>
      </c>
      <c r="G129" s="6">
        <v>102</v>
      </c>
      <c r="H129" s="6">
        <v>695156.93464512611</v>
      </c>
      <c r="I129" s="6">
        <v>-108529.99464512616</v>
      </c>
    </row>
    <row r="130" spans="1:9">
      <c r="A130">
        <v>849018.3</v>
      </c>
      <c r="B130">
        <v>66250.53</v>
      </c>
      <c r="G130" s="6">
        <v>103</v>
      </c>
      <c r="H130" s="6">
        <v>752618.8610901701</v>
      </c>
      <c r="I130" s="6">
        <v>-12516.221090170089</v>
      </c>
    </row>
    <row r="131" spans="1:9">
      <c r="A131">
        <v>801830.35</v>
      </c>
      <c r="B131">
        <v>68410.929999999993</v>
      </c>
      <c r="G131" s="6">
        <v>104</v>
      </c>
      <c r="H131" s="6">
        <v>629491.58589766012</v>
      </c>
      <c r="I131" s="6">
        <v>-3977.5458976600785</v>
      </c>
    </row>
    <row r="132" spans="1:9">
      <c r="A132">
        <v>725235.28</v>
      </c>
      <c r="B132">
        <v>50735.63</v>
      </c>
      <c r="G132" s="6">
        <v>105</v>
      </c>
      <c r="H132" s="6">
        <v>684120.36791838519</v>
      </c>
      <c r="I132" s="6">
        <v>43106.832081614761</v>
      </c>
    </row>
    <row r="133" spans="1:9">
      <c r="A133">
        <v>811452.72</v>
      </c>
      <c r="B133">
        <v>66455.8</v>
      </c>
      <c r="G133" s="6">
        <v>106</v>
      </c>
      <c r="H133" s="6">
        <v>719812.6466898825</v>
      </c>
      <c r="I133" s="6">
        <v>63985.243310117512</v>
      </c>
    </row>
    <row r="134" spans="1:9">
      <c r="A134">
        <v>527300.13</v>
      </c>
      <c r="B134">
        <v>70276.28</v>
      </c>
      <c r="G134" s="6">
        <v>107</v>
      </c>
      <c r="H134" s="6">
        <v>697696.75136382284</v>
      </c>
      <c r="I134" s="6">
        <v>97457.088636177126</v>
      </c>
    </row>
    <row r="135" spans="1:9">
      <c r="A135">
        <v>400831.65</v>
      </c>
      <c r="B135">
        <v>22071.64</v>
      </c>
      <c r="G135" s="6">
        <v>108</v>
      </c>
      <c r="H135" s="6">
        <v>626883.68665574025</v>
      </c>
      <c r="I135" s="6">
        <v>38711.25334425969</v>
      </c>
    </row>
    <row r="136" spans="1:9">
      <c r="A136">
        <v>593247.25</v>
      </c>
      <c r="B136">
        <v>52285.45</v>
      </c>
      <c r="G136" s="6">
        <v>109</v>
      </c>
      <c r="H136" s="6">
        <v>721059.87507199205</v>
      </c>
      <c r="I136" s="6">
        <v>-11581.485071992036</v>
      </c>
    </row>
    <row r="137" spans="1:9">
      <c r="A137">
        <v>529075.94999999995</v>
      </c>
      <c r="B137">
        <v>70366.759999999995</v>
      </c>
      <c r="G137" s="6">
        <v>110</v>
      </c>
      <c r="H137" s="6">
        <v>708594.78921550396</v>
      </c>
      <c r="I137" s="6">
        <v>-44432.299215503968</v>
      </c>
    </row>
    <row r="138" spans="1:9">
      <c r="A138">
        <v>633638.03</v>
      </c>
      <c r="B138">
        <v>71320.66</v>
      </c>
      <c r="G138" s="6">
        <v>111</v>
      </c>
      <c r="H138" s="6">
        <v>669505.26281116251</v>
      </c>
      <c r="I138" s="6">
        <v>-36011.052811162546</v>
      </c>
    </row>
    <row r="139" spans="1:9">
      <c r="A139">
        <v>743348.84</v>
      </c>
      <c r="B139">
        <v>75109.67</v>
      </c>
      <c r="G139" s="6">
        <v>112</v>
      </c>
      <c r="H139" s="6">
        <v>673129.50187817449</v>
      </c>
      <c r="I139" s="6">
        <v>40481.658121825545</v>
      </c>
    </row>
    <row r="140" spans="1:9">
      <c r="A140">
        <v>758827.64</v>
      </c>
      <c r="B140">
        <v>69779</v>
      </c>
      <c r="G140" s="6">
        <v>113</v>
      </c>
      <c r="H140" s="6">
        <v>691588.72470498295</v>
      </c>
      <c r="I140" s="6">
        <v>86809.245295017026</v>
      </c>
    </row>
    <row r="141" spans="1:9">
      <c r="A141">
        <v>646559.71</v>
      </c>
      <c r="B141">
        <v>44211.95</v>
      </c>
      <c r="G141" s="6">
        <v>114</v>
      </c>
      <c r="H141" s="6">
        <v>731518.90096989041</v>
      </c>
      <c r="I141" s="6">
        <v>141861.11903010961</v>
      </c>
    </row>
    <row r="142" spans="1:9">
      <c r="A142">
        <v>715890.53</v>
      </c>
      <c r="B142">
        <v>51430.31</v>
      </c>
      <c r="G142" s="6">
        <v>115</v>
      </c>
      <c r="H142" s="6">
        <v>632342.10765665222</v>
      </c>
      <c r="I142" s="6">
        <v>64945.792343347799</v>
      </c>
    </row>
    <row r="143" spans="1:9">
      <c r="A143">
        <v>715097.57</v>
      </c>
      <c r="B143">
        <v>45706.49</v>
      </c>
      <c r="G143" s="6">
        <v>116</v>
      </c>
      <c r="H143" s="6">
        <v>616126.15818417352</v>
      </c>
      <c r="I143" s="6">
        <v>101948.63181582652</v>
      </c>
    </row>
    <row r="144" spans="1:9">
      <c r="A144">
        <v>682639.28</v>
      </c>
      <c r="B144">
        <v>44034.6</v>
      </c>
      <c r="G144" s="6">
        <v>117</v>
      </c>
      <c r="H144" s="6">
        <v>653808.1417757445</v>
      </c>
      <c r="I144" s="6">
        <v>61134.28822425555</v>
      </c>
    </row>
    <row r="145" spans="1:9">
      <c r="A145">
        <v>695098.51</v>
      </c>
      <c r="B145">
        <v>50198.12</v>
      </c>
      <c r="G145" s="6">
        <v>118</v>
      </c>
      <c r="H145" s="6">
        <v>682929.80753574288</v>
      </c>
      <c r="I145" s="6">
        <v>137589.23246425716</v>
      </c>
    </row>
    <row r="146" spans="1:9">
      <c r="A146">
        <v>577732.56999999995</v>
      </c>
      <c r="B146">
        <v>70488.2</v>
      </c>
      <c r="G146" s="6">
        <v>119</v>
      </c>
      <c r="H146" s="6">
        <v>651104.2838695636</v>
      </c>
      <c r="I146" s="6">
        <v>33113.036130436347</v>
      </c>
    </row>
    <row r="147" spans="1:9">
      <c r="A147">
        <v>537058.32999999996</v>
      </c>
      <c r="B147">
        <v>50909.27</v>
      </c>
      <c r="G147" s="6">
        <v>120</v>
      </c>
      <c r="H147" s="6">
        <v>677837.92904021579</v>
      </c>
      <c r="I147" s="6">
        <v>57642.260959784151</v>
      </c>
    </row>
    <row r="148" spans="1:9">
      <c r="A148">
        <v>601568.87</v>
      </c>
      <c r="B148">
        <v>53351.7</v>
      </c>
      <c r="G148" s="6">
        <v>121</v>
      </c>
      <c r="H148" s="6">
        <v>654257.46087411267</v>
      </c>
      <c r="I148" s="6">
        <v>-144772.65087411267</v>
      </c>
    </row>
    <row r="149" spans="1:9">
      <c r="A149">
        <v>570964.84</v>
      </c>
      <c r="B149">
        <v>60322.400000000001</v>
      </c>
      <c r="G149" s="6">
        <v>122</v>
      </c>
      <c r="H149" s="6">
        <v>737626.1609816124</v>
      </c>
      <c r="I149" s="6">
        <v>-83309.070981612429</v>
      </c>
    </row>
    <row r="150" spans="1:9">
      <c r="A150">
        <v>614024.91</v>
      </c>
      <c r="B150">
        <v>51575.68</v>
      </c>
      <c r="G150" s="6">
        <v>123</v>
      </c>
      <c r="H150" s="6">
        <v>663840.54984826688</v>
      </c>
      <c r="I150" s="6">
        <v>-106353.28984826687</v>
      </c>
    </row>
    <row r="151" spans="1:9">
      <c r="A151">
        <v>712868.35</v>
      </c>
      <c r="B151">
        <v>43319.94</v>
      </c>
      <c r="G151" s="6">
        <v>124</v>
      </c>
      <c r="H151" s="6">
        <v>601374.46211543912</v>
      </c>
      <c r="I151" s="6">
        <v>-160099.04211543914</v>
      </c>
    </row>
    <row r="152" spans="1:9">
      <c r="A152">
        <v>696744.15</v>
      </c>
      <c r="B152">
        <v>47093.55</v>
      </c>
      <c r="G152" s="6">
        <v>125</v>
      </c>
      <c r="H152" s="6">
        <v>691833.9878954615</v>
      </c>
      <c r="I152" s="6">
        <v>222710.18210453854</v>
      </c>
    </row>
    <row r="153" spans="1:9">
      <c r="A153">
        <v>725847.99</v>
      </c>
      <c r="B153">
        <v>71855.09</v>
      </c>
      <c r="G153" s="6">
        <v>126</v>
      </c>
      <c r="H153" s="6">
        <v>656069.45263309905</v>
      </c>
      <c r="I153" s="6">
        <v>186370.21736690099</v>
      </c>
    </row>
    <row r="154" spans="1:9">
      <c r="A154">
        <v>785028.25</v>
      </c>
      <c r="B154">
        <v>75645.23</v>
      </c>
      <c r="G154" s="6">
        <v>127</v>
      </c>
      <c r="H154" s="6">
        <v>681136.47085662617</v>
      </c>
      <c r="I154" s="6">
        <v>161021.44914337387</v>
      </c>
    </row>
    <row r="155" spans="1:9">
      <c r="A155">
        <v>698492.67</v>
      </c>
      <c r="B155">
        <v>64374.75</v>
      </c>
      <c r="G155" s="6">
        <v>128</v>
      </c>
      <c r="H155" s="6">
        <v>641335.98572916887</v>
      </c>
      <c r="I155" s="6">
        <v>55819.314270831179</v>
      </c>
    </row>
    <row r="156" spans="1:9">
      <c r="A156">
        <v>685830.24</v>
      </c>
      <c r="B156">
        <v>61433.84</v>
      </c>
      <c r="G156" s="6">
        <v>129</v>
      </c>
      <c r="H156" s="6">
        <v>701862.83957718674</v>
      </c>
      <c r="I156" s="6">
        <v>147155.46042281331</v>
      </c>
    </row>
    <row r="157" spans="1:9">
      <c r="A157">
        <v>702318.94</v>
      </c>
      <c r="B157">
        <v>42698.14</v>
      </c>
      <c r="G157" s="6">
        <v>130</v>
      </c>
      <c r="H157" s="6">
        <v>706463.57411491184</v>
      </c>
      <c r="I157" s="6">
        <v>95366.775885088136</v>
      </c>
    </row>
    <row r="158" spans="1:9">
      <c r="A158">
        <v>700078.32</v>
      </c>
      <c r="B158">
        <v>86883.31</v>
      </c>
      <c r="G158" s="6">
        <v>131</v>
      </c>
      <c r="H158" s="6">
        <v>668822.69132716337</v>
      </c>
      <c r="I158" s="6">
        <v>56412.58867283666</v>
      </c>
    </row>
    <row r="159" spans="1:9">
      <c r="A159">
        <v>602002.31999999995</v>
      </c>
      <c r="B159">
        <v>41863.08</v>
      </c>
      <c r="G159" s="6">
        <v>132</v>
      </c>
      <c r="H159" s="6">
        <v>702299.9775046811</v>
      </c>
      <c r="I159" s="6">
        <v>109152.74249531887</v>
      </c>
    </row>
    <row r="160" spans="1:9">
      <c r="A160">
        <v>724216.07</v>
      </c>
      <c r="B160">
        <v>56918.16</v>
      </c>
      <c r="G160" s="6">
        <v>133</v>
      </c>
      <c r="H160" s="6">
        <v>710435.97745223157</v>
      </c>
      <c r="I160" s="6">
        <v>-183135.84745223157</v>
      </c>
    </row>
    <row r="161" spans="1:9">
      <c r="A161">
        <v>620973.03</v>
      </c>
      <c r="B161">
        <v>23254.57</v>
      </c>
      <c r="G161" s="6">
        <v>134</v>
      </c>
      <c r="H161" s="6">
        <v>607780.56543288182</v>
      </c>
      <c r="I161" s="6">
        <v>-206948.9154328818</v>
      </c>
    </row>
    <row r="162" spans="1:9">
      <c r="A162">
        <v>650480.06000000006</v>
      </c>
      <c r="B162">
        <v>41443.410000000003</v>
      </c>
      <c r="G162" s="6">
        <v>135</v>
      </c>
      <c r="H162" s="6">
        <v>672123.14976136864</v>
      </c>
      <c r="I162" s="6">
        <v>-78875.899761368637</v>
      </c>
    </row>
    <row r="163" spans="1:9">
      <c r="A163">
        <v>778298.88</v>
      </c>
      <c r="B163">
        <v>48438.85</v>
      </c>
      <c r="G163" s="6">
        <v>136</v>
      </c>
      <c r="H163" s="6">
        <v>710628.66142787179</v>
      </c>
      <c r="I163" s="6">
        <v>-181552.71142787184</v>
      </c>
    </row>
    <row r="164" spans="1:9">
      <c r="A164">
        <v>677096.71</v>
      </c>
      <c r="B164">
        <v>57143.3</v>
      </c>
      <c r="G164" s="6">
        <v>137</v>
      </c>
      <c r="H164" s="6">
        <v>712660.06333285978</v>
      </c>
      <c r="I164" s="6">
        <v>-79022.033332859748</v>
      </c>
    </row>
    <row r="165" spans="1:9">
      <c r="A165">
        <v>692008.64</v>
      </c>
      <c r="B165">
        <v>66870.62</v>
      </c>
      <c r="G165" s="6">
        <v>138</v>
      </c>
      <c r="H165" s="6">
        <v>720729.04554485087</v>
      </c>
      <c r="I165" s="6">
        <v>22619.794455149095</v>
      </c>
    </row>
    <row r="166" spans="1:9">
      <c r="A166">
        <v>825797.91</v>
      </c>
      <c r="B166">
        <v>72150.53</v>
      </c>
      <c r="G166" s="6">
        <v>139</v>
      </c>
      <c r="H166" s="6">
        <v>709376.9822333277</v>
      </c>
      <c r="I166" s="6">
        <v>49450.657766672317</v>
      </c>
    </row>
    <row r="167" spans="1:9">
      <c r="A167">
        <v>706285.52</v>
      </c>
      <c r="B167">
        <v>35303.300000000003</v>
      </c>
      <c r="G167" s="6">
        <v>140</v>
      </c>
      <c r="H167" s="6">
        <v>654930.02335407212</v>
      </c>
      <c r="I167" s="6">
        <v>-8370.313354072161</v>
      </c>
    </row>
    <row r="168" spans="1:9">
      <c r="A168">
        <v>665534.69999999995</v>
      </c>
      <c r="B168">
        <v>30301.86</v>
      </c>
      <c r="G168" s="6">
        <v>141</v>
      </c>
      <c r="H168" s="6">
        <v>670302.0647157334</v>
      </c>
      <c r="I168" s="6">
        <v>45588.465284266626</v>
      </c>
    </row>
    <row r="169" spans="1:9">
      <c r="A169">
        <v>820729.29</v>
      </c>
      <c r="B169">
        <v>78432.14</v>
      </c>
      <c r="G169" s="6">
        <v>142</v>
      </c>
      <c r="H169" s="6">
        <v>658112.75886416819</v>
      </c>
      <c r="I169" s="6">
        <v>56984.811135831755</v>
      </c>
    </row>
    <row r="170" spans="1:9">
      <c r="A170">
        <v>739831.73</v>
      </c>
      <c r="B170">
        <v>62059.18</v>
      </c>
      <c r="G170" s="6">
        <v>143</v>
      </c>
      <c r="H170" s="6">
        <v>654552.3431697241</v>
      </c>
      <c r="I170" s="6">
        <v>28086.936830275925</v>
      </c>
    </row>
    <row r="171" spans="1:9">
      <c r="A171">
        <v>593637.14</v>
      </c>
      <c r="B171">
        <v>32834.480000000003</v>
      </c>
      <c r="G171" s="6">
        <v>144</v>
      </c>
      <c r="H171" s="6">
        <v>667678.02329283056</v>
      </c>
      <c r="I171" s="6">
        <v>27420.486707169446</v>
      </c>
    </row>
    <row r="172" spans="1:9">
      <c r="A172">
        <v>769702.76</v>
      </c>
      <c r="B172">
        <v>50825.08</v>
      </c>
      <c r="G172" s="6">
        <v>145</v>
      </c>
      <c r="H172" s="6">
        <v>710887.27705565433</v>
      </c>
      <c r="I172" s="6">
        <v>-133154.70705565438</v>
      </c>
    </row>
    <row r="173" spans="1:9">
      <c r="A173">
        <v>679731.57</v>
      </c>
      <c r="B173">
        <v>36606.51</v>
      </c>
      <c r="G173" s="6">
        <v>146</v>
      </c>
      <c r="H173" s="6">
        <v>669192.47078704601</v>
      </c>
      <c r="I173" s="6">
        <v>-132134.14078704605</v>
      </c>
    </row>
    <row r="174" spans="1:9">
      <c r="A174">
        <v>780344.18</v>
      </c>
      <c r="B174">
        <v>65237.79</v>
      </c>
      <c r="G174" s="6">
        <v>147</v>
      </c>
      <c r="H174" s="6">
        <v>674393.80945441127</v>
      </c>
      <c r="I174" s="6">
        <v>-72824.939454411273</v>
      </c>
    </row>
    <row r="175" spans="1:9">
      <c r="A175">
        <v>721364.11</v>
      </c>
      <c r="B175">
        <v>43645.98</v>
      </c>
      <c r="G175" s="6">
        <v>148</v>
      </c>
      <c r="H175" s="6">
        <v>689238.44019044167</v>
      </c>
      <c r="I175" s="6">
        <v>-118273.60019044171</v>
      </c>
    </row>
    <row r="176" spans="1:9">
      <c r="A176">
        <v>758138.29</v>
      </c>
      <c r="B176">
        <v>68040.149999999994</v>
      </c>
      <c r="G176" s="6">
        <v>149</v>
      </c>
      <c r="H176" s="6">
        <v>670611.64108110522</v>
      </c>
      <c r="I176" s="6">
        <v>-56586.731081105187</v>
      </c>
    </row>
    <row r="177" spans="1:9">
      <c r="A177">
        <v>804264</v>
      </c>
      <c r="B177">
        <v>63043.94</v>
      </c>
      <c r="G177" s="6">
        <v>150</v>
      </c>
      <c r="H177" s="6">
        <v>653030.42086610873</v>
      </c>
      <c r="I177" s="6">
        <v>59837.929133891244</v>
      </c>
    </row>
    <row r="178" spans="1:9">
      <c r="A178">
        <v>887537.75</v>
      </c>
      <c r="B178">
        <v>67494.09</v>
      </c>
      <c r="G178" s="6">
        <v>151</v>
      </c>
      <c r="H178" s="6">
        <v>661066.60761805496</v>
      </c>
      <c r="I178" s="6">
        <v>35677.542381945066</v>
      </c>
    </row>
    <row r="179" spans="1:9">
      <c r="A179">
        <v>783582</v>
      </c>
      <c r="B179">
        <v>29389.32</v>
      </c>
      <c r="G179" s="6">
        <v>152</v>
      </c>
      <c r="H179" s="6">
        <v>713798.17227518361</v>
      </c>
      <c r="I179" s="6">
        <v>12049.817724816385</v>
      </c>
    </row>
    <row r="180" spans="1:9">
      <c r="A180">
        <v>781955.52</v>
      </c>
      <c r="B180">
        <v>40535.089999999997</v>
      </c>
      <c r="G180" s="6">
        <v>153</v>
      </c>
      <c r="H180" s="6">
        <v>721869.56090729497</v>
      </c>
      <c r="I180" s="6">
        <v>63158.689092705026</v>
      </c>
    </row>
    <row r="181" spans="1:9">
      <c r="A181">
        <v>898031.04</v>
      </c>
      <c r="B181">
        <v>74881.56</v>
      </c>
      <c r="G181" s="6">
        <v>154</v>
      </c>
      <c r="H181" s="6">
        <v>697868.22476920031</v>
      </c>
      <c r="I181" s="6">
        <v>624.44523079972714</v>
      </c>
    </row>
    <row r="182" spans="1:9">
      <c r="A182">
        <v>855341.28</v>
      </c>
      <c r="B182">
        <v>68491.11</v>
      </c>
      <c r="G182" s="6">
        <v>155</v>
      </c>
      <c r="H182" s="6">
        <v>691605.33539253811</v>
      </c>
      <c r="I182" s="6">
        <v>-5775.0953925381182</v>
      </c>
    </row>
    <row r="183" spans="1:9">
      <c r="A183">
        <v>751393.88</v>
      </c>
      <c r="B183">
        <v>45209.25</v>
      </c>
      <c r="G183" s="6">
        <v>156</v>
      </c>
      <c r="H183" s="6">
        <v>651706.25092741335</v>
      </c>
      <c r="I183" s="6">
        <v>50612.689072586596</v>
      </c>
    </row>
    <row r="184" spans="1:9">
      <c r="A184">
        <v>761077.08</v>
      </c>
      <c r="B184">
        <v>63010.23</v>
      </c>
      <c r="G184" s="6">
        <v>157</v>
      </c>
      <c r="H184" s="6">
        <v>745801.89880477567</v>
      </c>
      <c r="I184" s="6">
        <v>-45723.578804775723</v>
      </c>
    </row>
    <row r="185" spans="1:9">
      <c r="A185">
        <v>819660.59</v>
      </c>
      <c r="B185">
        <v>57948.88</v>
      </c>
      <c r="G185" s="6">
        <v>158</v>
      </c>
      <c r="H185" s="6">
        <v>649927.92775435618</v>
      </c>
      <c r="I185" s="6">
        <v>-47925.607754356228</v>
      </c>
    </row>
    <row r="186" spans="1:9">
      <c r="A186">
        <v>681855.56</v>
      </c>
      <c r="B186">
        <v>71941.62</v>
      </c>
      <c r="G186" s="6">
        <v>159</v>
      </c>
      <c r="H186" s="6">
        <v>681988.85467724735</v>
      </c>
      <c r="I186" s="6">
        <v>42227.2153227526</v>
      </c>
    </row>
    <row r="187" spans="1:9">
      <c r="A187">
        <v>678311.17</v>
      </c>
      <c r="B187">
        <v>57147.88</v>
      </c>
      <c r="G187" s="6">
        <v>160</v>
      </c>
      <c r="H187" s="6">
        <v>610299.70397514757</v>
      </c>
      <c r="I187" s="6">
        <v>10673.32602485246</v>
      </c>
    </row>
    <row r="188" spans="1:9">
      <c r="A188">
        <v>765906.95</v>
      </c>
      <c r="B188">
        <v>48031.74</v>
      </c>
      <c r="G188" s="6">
        <v>161</v>
      </c>
      <c r="H188" s="6">
        <v>649034.20887662657</v>
      </c>
      <c r="I188" s="6">
        <v>1445.8511233734898</v>
      </c>
    </row>
    <row r="189" spans="1:9">
      <c r="A189">
        <v>712546.38</v>
      </c>
      <c r="B189">
        <v>72784.800000000003</v>
      </c>
      <c r="G189" s="6">
        <v>162</v>
      </c>
      <c r="H189" s="6">
        <v>663931.52530626161</v>
      </c>
      <c r="I189" s="6">
        <v>114367.35469373839</v>
      </c>
    </row>
    <row r="190" spans="1:9">
      <c r="A190">
        <v>625993.82999999996</v>
      </c>
      <c r="B190">
        <v>71641.899999999994</v>
      </c>
      <c r="G190" s="6">
        <v>163</v>
      </c>
      <c r="H190" s="6">
        <v>682468.30726650089</v>
      </c>
      <c r="I190" s="6">
        <v>-5371.5972665009322</v>
      </c>
    </row>
    <row r="191" spans="1:9">
      <c r="A191">
        <v>550962.93000000005</v>
      </c>
      <c r="B191">
        <v>55788.61</v>
      </c>
      <c r="G191" s="6">
        <v>164</v>
      </c>
      <c r="H191" s="6">
        <v>703183.36794207199</v>
      </c>
      <c r="I191" s="6">
        <v>-11174.727942071971</v>
      </c>
    </row>
    <row r="192" spans="1:9">
      <c r="A192">
        <v>443275.59</v>
      </c>
      <c r="B192">
        <v>37705.879999999997</v>
      </c>
      <c r="G192" s="6">
        <v>165</v>
      </c>
      <c r="H192" s="6">
        <v>714427.33400996681</v>
      </c>
      <c r="I192" s="6">
        <v>111370.57599003322</v>
      </c>
    </row>
    <row r="193" spans="1:9">
      <c r="A193">
        <v>554012.06999999995</v>
      </c>
      <c r="B193">
        <v>54966.18</v>
      </c>
      <c r="G193" s="6">
        <v>166</v>
      </c>
      <c r="H193" s="6">
        <v>635958.38211193902</v>
      </c>
      <c r="I193" s="6">
        <v>70327.137888060999</v>
      </c>
    </row>
    <row r="194" spans="1:9">
      <c r="A194">
        <v>643428.85</v>
      </c>
      <c r="B194">
        <v>81796.740000000005</v>
      </c>
      <c r="G194" s="6">
        <v>167</v>
      </c>
      <c r="H194" s="6">
        <v>625307.43888551812</v>
      </c>
      <c r="I194" s="6">
        <v>40227.261114481837</v>
      </c>
    </row>
    <row r="195" spans="1:9">
      <c r="A195">
        <v>611924.27</v>
      </c>
      <c r="B195">
        <v>51133.43</v>
      </c>
      <c r="G195" s="6">
        <v>168</v>
      </c>
      <c r="H195" s="6">
        <v>727804.49568350834</v>
      </c>
      <c r="I195" s="6">
        <v>92924.794316491694</v>
      </c>
    </row>
    <row r="196" spans="1:9">
      <c r="A196">
        <v>559422.02</v>
      </c>
      <c r="B196">
        <v>40220.18</v>
      </c>
      <c r="G196" s="6">
        <v>169</v>
      </c>
      <c r="H196" s="6">
        <v>692937.04402789311</v>
      </c>
      <c r="I196" s="6">
        <v>46894.685972106876</v>
      </c>
    </row>
    <row r="197" spans="1:9">
      <c r="A197">
        <v>449465.06</v>
      </c>
      <c r="B197">
        <v>41657.64</v>
      </c>
      <c r="G197" s="6">
        <v>170</v>
      </c>
      <c r="H197" s="6">
        <v>630700.84395167872</v>
      </c>
      <c r="I197" s="6">
        <v>-37063.703951678704</v>
      </c>
    </row>
    <row r="198" spans="1:9">
      <c r="A198">
        <v>691447.43</v>
      </c>
      <c r="B198">
        <v>71851.45</v>
      </c>
      <c r="G198" s="6">
        <v>171</v>
      </c>
      <c r="H198" s="6">
        <v>669013.18184021628</v>
      </c>
      <c r="I198" s="6">
        <v>100689.57815978373</v>
      </c>
    </row>
    <row r="199" spans="1:9">
      <c r="A199">
        <v>574066.61</v>
      </c>
      <c r="B199">
        <v>54002.83</v>
      </c>
      <c r="G199" s="6">
        <v>172</v>
      </c>
      <c r="H199" s="6">
        <v>638733.66597460734</v>
      </c>
      <c r="I199" s="6">
        <v>40997.904025392607</v>
      </c>
    </row>
    <row r="200" spans="1:9">
      <c r="A200">
        <v>578949.84</v>
      </c>
      <c r="B200">
        <v>54479.33</v>
      </c>
      <c r="G200" s="6">
        <v>173</v>
      </c>
      <c r="H200" s="6">
        <v>699706.13345992344</v>
      </c>
      <c r="I200" s="6">
        <v>80638.046540076612</v>
      </c>
    </row>
    <row r="201" spans="1:9">
      <c r="A201">
        <v>735786.64</v>
      </c>
      <c r="B201">
        <v>61391.8</v>
      </c>
      <c r="G201" s="6">
        <v>174</v>
      </c>
      <c r="H201" s="6">
        <v>653724.74760591611</v>
      </c>
      <c r="I201" s="6">
        <v>67639.362394083873</v>
      </c>
    </row>
    <row r="202" spans="1:9">
      <c r="A202">
        <v>598904.9</v>
      </c>
      <c r="B202">
        <v>22312.93</v>
      </c>
      <c r="G202" s="6">
        <v>175</v>
      </c>
      <c r="H202" s="6">
        <v>705673.9701749481</v>
      </c>
      <c r="I202" s="6">
        <v>52464.319825051934</v>
      </c>
    </row>
    <row r="203" spans="1:9">
      <c r="A203">
        <v>787715.51</v>
      </c>
      <c r="B203">
        <v>78111.97</v>
      </c>
      <c r="G203" s="6">
        <v>176</v>
      </c>
      <c r="H203" s="6">
        <v>695034.16462749057</v>
      </c>
      <c r="I203" s="6">
        <v>109229.83537250943</v>
      </c>
    </row>
    <row r="204" spans="1:9">
      <c r="A204">
        <v>607084.92000000004</v>
      </c>
      <c r="B204">
        <v>35203.230000000003</v>
      </c>
      <c r="G204" s="6">
        <v>177</v>
      </c>
      <c r="H204" s="6">
        <v>704511.09427156439</v>
      </c>
      <c r="I204" s="6">
        <v>183026.65572843561</v>
      </c>
    </row>
    <row r="205" spans="1:9">
      <c r="A205">
        <v>650795.49</v>
      </c>
      <c r="B205">
        <v>64104.28</v>
      </c>
      <c r="G205" s="6">
        <v>178</v>
      </c>
      <c r="H205" s="6">
        <v>623364.11621607933</v>
      </c>
      <c r="I205" s="6">
        <v>160217.88378392067</v>
      </c>
    </row>
    <row r="206" spans="1:9">
      <c r="A206">
        <v>825060.52</v>
      </c>
      <c r="B206">
        <v>92090.14</v>
      </c>
      <c r="G206" s="6">
        <v>179</v>
      </c>
      <c r="H206" s="6">
        <v>647099.87301507022</v>
      </c>
      <c r="I206" s="6">
        <v>134855.6469849298</v>
      </c>
    </row>
    <row r="207" spans="1:9">
      <c r="A207">
        <v>795464.47</v>
      </c>
      <c r="B207">
        <v>54300.87</v>
      </c>
      <c r="G207" s="6">
        <v>180</v>
      </c>
      <c r="H207" s="6">
        <v>720243.26811687439</v>
      </c>
      <c r="I207" s="6">
        <v>177787.77188312565</v>
      </c>
    </row>
    <row r="208" spans="1:9">
      <c r="A208">
        <v>671868.59</v>
      </c>
      <c r="B208">
        <v>37983.35</v>
      </c>
      <c r="G208" s="6">
        <v>181</v>
      </c>
      <c r="H208" s="6">
        <v>706634.32346467802</v>
      </c>
      <c r="I208" s="6">
        <v>148706.95653532201</v>
      </c>
    </row>
    <row r="209" spans="1:9">
      <c r="A209">
        <v>675917.63</v>
      </c>
      <c r="B209">
        <v>56413.83</v>
      </c>
      <c r="G209" s="6">
        <v>182</v>
      </c>
      <c r="H209" s="6">
        <v>657053.84882827743</v>
      </c>
      <c r="I209" s="6">
        <v>94340.03117172257</v>
      </c>
    </row>
    <row r="210" spans="1:9">
      <c r="A210">
        <v>810446.53</v>
      </c>
      <c r="B210">
        <v>63457.19</v>
      </c>
      <c r="G210" s="6">
        <v>183</v>
      </c>
      <c r="H210" s="6">
        <v>694962.37664319749</v>
      </c>
      <c r="I210" s="6">
        <v>66114.703356802464</v>
      </c>
    </row>
    <row r="211" spans="1:9">
      <c r="A211">
        <v>691288.19</v>
      </c>
      <c r="B211">
        <v>62949.7</v>
      </c>
      <c r="G211" s="6">
        <v>184</v>
      </c>
      <c r="H211" s="6">
        <v>684183.85055890062</v>
      </c>
      <c r="I211" s="6">
        <v>135476.73944109934</v>
      </c>
    </row>
    <row r="212" spans="1:9">
      <c r="A212">
        <v>946833.54</v>
      </c>
      <c r="B212">
        <v>107970.19</v>
      </c>
      <c r="G212" s="6">
        <v>185</v>
      </c>
      <c r="H212" s="6">
        <v>713982.44442828</v>
      </c>
      <c r="I212" s="6">
        <v>-32126.88442827994</v>
      </c>
    </row>
    <row r="213" spans="1:9">
      <c r="A213">
        <v>761963.23</v>
      </c>
      <c r="B213">
        <v>49405.75</v>
      </c>
      <c r="G213" s="6">
        <v>186</v>
      </c>
      <c r="H213" s="6">
        <v>682478.06072150124</v>
      </c>
      <c r="I213" s="6">
        <v>-4166.8907215012005</v>
      </c>
    </row>
    <row r="214" spans="1:9">
      <c r="A214">
        <v>812152.6</v>
      </c>
      <c r="B214">
        <v>50887.46</v>
      </c>
      <c r="G214" s="6">
        <v>187</v>
      </c>
      <c r="H214" s="6">
        <v>663064.55389464647</v>
      </c>
      <c r="I214" s="6">
        <v>102842.39610535349</v>
      </c>
    </row>
    <row r="215" spans="1:9">
      <c r="A215">
        <v>804975.5</v>
      </c>
      <c r="B215">
        <v>41819.449999999997</v>
      </c>
      <c r="G215" s="6">
        <v>188</v>
      </c>
      <c r="H215" s="6">
        <v>715778.05975299713</v>
      </c>
      <c r="I215" s="6">
        <v>-3231.6797529971227</v>
      </c>
    </row>
    <row r="216" spans="1:9">
      <c r="A216">
        <v>752321.72</v>
      </c>
      <c r="B216">
        <v>35296.54</v>
      </c>
      <c r="G216" s="6">
        <v>189</v>
      </c>
      <c r="H216" s="6">
        <v>713344.16811109474</v>
      </c>
      <c r="I216" s="6">
        <v>-87350.338111094781</v>
      </c>
    </row>
    <row r="217" spans="1:9">
      <c r="A217">
        <v>836908.24</v>
      </c>
      <c r="B217">
        <v>47391.09</v>
      </c>
      <c r="G217" s="6">
        <v>190</v>
      </c>
      <c r="H217" s="6">
        <v>679583.39286596817</v>
      </c>
      <c r="I217" s="6">
        <v>-128620.46286596812</v>
      </c>
    </row>
    <row r="218" spans="1:9">
      <c r="A218">
        <v>674289.1</v>
      </c>
      <c r="B218">
        <v>69180.539999999994</v>
      </c>
      <c r="G218" s="6">
        <v>191</v>
      </c>
      <c r="H218" s="6">
        <v>641074.85720249976</v>
      </c>
      <c r="I218" s="6">
        <v>-197799.26720249973</v>
      </c>
    </row>
    <row r="219" spans="1:9">
      <c r="A219">
        <v>622892.42000000004</v>
      </c>
      <c r="B219">
        <v>33987.33</v>
      </c>
      <c r="G219" s="6">
        <v>192</v>
      </c>
      <c r="H219" s="6">
        <v>677831.9662292985</v>
      </c>
      <c r="I219" s="6">
        <v>-123819.89622929855</v>
      </c>
    </row>
    <row r="220" spans="1:9">
      <c r="A220">
        <v>673348.56</v>
      </c>
      <c r="B220">
        <v>58785.33</v>
      </c>
      <c r="G220" s="6">
        <v>193</v>
      </c>
      <c r="H220" s="6">
        <v>734969.66483071703</v>
      </c>
      <c r="I220" s="6">
        <v>-91540.814830717049</v>
      </c>
    </row>
    <row r="221" spans="1:9">
      <c r="A221">
        <v>606278.30000000005</v>
      </c>
      <c r="B221">
        <v>16451.849999999999</v>
      </c>
      <c r="G221" s="6">
        <v>194</v>
      </c>
      <c r="H221" s="6">
        <v>669669.83639247855</v>
      </c>
      <c r="I221" s="6">
        <v>-57745.566392478533</v>
      </c>
    </row>
    <row r="222" spans="1:9">
      <c r="A222">
        <v>712219.81</v>
      </c>
      <c r="B222">
        <v>53367.73</v>
      </c>
      <c r="G222" s="6">
        <v>195</v>
      </c>
      <c r="H222" s="6">
        <v>646429.24844865885</v>
      </c>
      <c r="I222" s="6">
        <v>-87007.228448658832</v>
      </c>
    </row>
    <row r="223" spans="1:9">
      <c r="A223">
        <v>672670.54</v>
      </c>
      <c r="B223">
        <v>27194.639999999999</v>
      </c>
      <c r="G223" s="6">
        <v>196</v>
      </c>
      <c r="H223" s="6">
        <v>649490.42779905617</v>
      </c>
      <c r="I223" s="6">
        <v>-200025.36779905617</v>
      </c>
    </row>
    <row r="224" spans="1:9">
      <c r="A224">
        <v>732667.92</v>
      </c>
      <c r="B224">
        <v>66962.740000000005</v>
      </c>
      <c r="G224" s="6">
        <v>197</v>
      </c>
      <c r="H224" s="6">
        <v>713790.42062099115</v>
      </c>
      <c r="I224" s="6">
        <v>-22342.990620991099</v>
      </c>
    </row>
    <row r="225" spans="1:9">
      <c r="A225">
        <v>723531.4</v>
      </c>
      <c r="B225">
        <v>73540.990000000005</v>
      </c>
      <c r="G225" s="6">
        <v>198</v>
      </c>
      <c r="H225" s="6">
        <v>675780.43983746483</v>
      </c>
      <c r="I225" s="6">
        <v>-101713.82983746484</v>
      </c>
    </row>
    <row r="226" spans="1:9">
      <c r="A226">
        <v>641564.6</v>
      </c>
      <c r="B226">
        <v>68212.289999999994</v>
      </c>
      <c r="G226" s="6">
        <v>199</v>
      </c>
      <c r="H226" s="6">
        <v>676795.18248106143</v>
      </c>
      <c r="I226" s="6">
        <v>-97845.342481061467</v>
      </c>
    </row>
    <row r="227" spans="1:9">
      <c r="A227">
        <v>536545.49</v>
      </c>
      <c r="B227">
        <v>57225.98</v>
      </c>
      <c r="G227" s="6">
        <v>200</v>
      </c>
      <c r="H227" s="6">
        <v>691515.80804576632</v>
      </c>
      <c r="I227" s="6">
        <v>44270.831954233698</v>
      </c>
    </row>
    <row r="228" spans="1:9">
      <c r="A228">
        <v>527681.56000000006</v>
      </c>
      <c r="B228">
        <v>42932.02</v>
      </c>
      <c r="G228" s="6">
        <v>201</v>
      </c>
      <c r="H228" s="6">
        <v>608294.41066367598</v>
      </c>
      <c r="I228" s="6">
        <v>-9389.5106636759592</v>
      </c>
    </row>
    <row r="229" spans="1:9">
      <c r="A229">
        <v>529598.93999999994</v>
      </c>
      <c r="B229">
        <v>39341.449999999997</v>
      </c>
      <c r="G229" s="6">
        <v>202</v>
      </c>
      <c r="H229" s="6">
        <v>727122.6695508738</v>
      </c>
      <c r="I229" s="6">
        <v>60592.840449126204</v>
      </c>
    </row>
    <row r="230" spans="1:9">
      <c r="A230">
        <v>570963.31000000006</v>
      </c>
      <c r="B230">
        <v>37324.230000000003</v>
      </c>
      <c r="G230" s="6">
        <v>203</v>
      </c>
      <c r="H230" s="6">
        <v>635745.27550890716</v>
      </c>
      <c r="I230" s="6">
        <v>-28660.355508907116</v>
      </c>
    </row>
    <row r="231" spans="1:9">
      <c r="A231">
        <v>870937.4</v>
      </c>
      <c r="B231">
        <v>113736</v>
      </c>
      <c r="G231" s="6">
        <v>204</v>
      </c>
      <c r="H231" s="6">
        <v>697292.23853034712</v>
      </c>
      <c r="I231" s="6">
        <v>-46496.748530347133</v>
      </c>
    </row>
    <row r="232" spans="1:9">
      <c r="A232">
        <v>596969.27</v>
      </c>
      <c r="B232">
        <v>33173.949999999997</v>
      </c>
      <c r="G232" s="6">
        <v>205</v>
      </c>
      <c r="H232" s="6">
        <v>756890.23550773016</v>
      </c>
      <c r="I232" s="6">
        <v>68170.284492269857</v>
      </c>
    </row>
    <row r="233" spans="1:9">
      <c r="A233">
        <v>647512.85</v>
      </c>
      <c r="B233">
        <v>25818.080000000002</v>
      </c>
      <c r="G233" s="6">
        <v>206</v>
      </c>
      <c r="H233" s="6">
        <v>676415.13846809976</v>
      </c>
      <c r="I233" s="6">
        <v>119049.33153190021</v>
      </c>
    </row>
    <row r="234" spans="1:9">
      <c r="A234">
        <v>658072.14</v>
      </c>
      <c r="B234">
        <v>47241.919999999998</v>
      </c>
      <c r="G234" s="6">
        <v>207</v>
      </c>
      <c r="H234" s="6">
        <v>641665.75046864618</v>
      </c>
      <c r="I234" s="6">
        <v>30202.839531353791</v>
      </c>
    </row>
    <row r="235" spans="1:9">
      <c r="A235">
        <v>723305.11</v>
      </c>
      <c r="B235">
        <v>61650.79</v>
      </c>
      <c r="G235" s="6">
        <v>208</v>
      </c>
      <c r="H235" s="6">
        <v>680914.84595228394</v>
      </c>
      <c r="I235" s="6">
        <v>-4997.2159522839356</v>
      </c>
    </row>
    <row r="236" spans="1:9">
      <c r="A236">
        <v>640666.53</v>
      </c>
      <c r="B236">
        <v>62582.71</v>
      </c>
      <c r="G236" s="6">
        <v>209</v>
      </c>
      <c r="H236" s="6">
        <v>695914.21163161704</v>
      </c>
      <c r="I236" s="6">
        <v>114532.31836838298</v>
      </c>
    </row>
    <row r="237" spans="1:9">
      <c r="A237">
        <v>670629.48</v>
      </c>
      <c r="B237">
        <v>47944.14</v>
      </c>
      <c r="G237" s="6">
        <v>210</v>
      </c>
      <c r="H237" s="6">
        <v>694833.47344861843</v>
      </c>
      <c r="I237" s="6">
        <v>-3545.2834486184875</v>
      </c>
    </row>
    <row r="238" spans="1:9">
      <c r="A238">
        <v>721079.35</v>
      </c>
      <c r="B238">
        <v>46495.4</v>
      </c>
      <c r="G238" s="6">
        <v>211</v>
      </c>
      <c r="H238" s="6">
        <v>790707.99818862299</v>
      </c>
      <c r="I238" s="6">
        <v>156125.54181137704</v>
      </c>
    </row>
    <row r="239" spans="1:9">
      <c r="A239">
        <v>810355.02</v>
      </c>
      <c r="B239">
        <v>72961.95</v>
      </c>
      <c r="G239" s="6">
        <v>212</v>
      </c>
      <c r="H239" s="6">
        <v>665990.6116905082</v>
      </c>
      <c r="I239" s="6">
        <v>95972.61830949178</v>
      </c>
    </row>
    <row r="240" spans="1:9">
      <c r="A240">
        <v>761919.25</v>
      </c>
      <c r="B240">
        <v>59060.05</v>
      </c>
      <c r="G240" s="6">
        <v>213</v>
      </c>
      <c r="H240" s="6">
        <v>669146.02474915131</v>
      </c>
      <c r="I240" s="6">
        <v>143006.57525084866</v>
      </c>
    </row>
    <row r="241" spans="1:9">
      <c r="A241">
        <v>737070.18</v>
      </c>
      <c r="B241">
        <v>26248.1</v>
      </c>
      <c r="G241" s="6">
        <v>214</v>
      </c>
      <c r="H241" s="6">
        <v>649835.01438281348</v>
      </c>
      <c r="I241" s="6">
        <v>155140.48561718652</v>
      </c>
    </row>
    <row r="242" spans="1:9">
      <c r="A242">
        <v>776992.93</v>
      </c>
      <c r="B242">
        <v>69900.12</v>
      </c>
      <c r="G242" s="6">
        <v>215</v>
      </c>
      <c r="H242" s="6">
        <v>635943.98618272447</v>
      </c>
      <c r="I242" s="6">
        <v>116377.7338172755</v>
      </c>
    </row>
    <row r="243" spans="1:9">
      <c r="A243">
        <v>676337.41</v>
      </c>
      <c r="B243">
        <v>51781.599999999999</v>
      </c>
      <c r="G243" s="6">
        <v>216</v>
      </c>
      <c r="H243" s="6">
        <v>661700.24146102602</v>
      </c>
      <c r="I243" s="6">
        <v>175207.99853897397</v>
      </c>
    </row>
    <row r="244" spans="1:9">
      <c r="A244">
        <v>828219.67</v>
      </c>
      <c r="B244">
        <v>70799.64</v>
      </c>
      <c r="G244" s="6">
        <v>217</v>
      </c>
      <c r="H244" s="6">
        <v>708102.51658277819</v>
      </c>
      <c r="I244" s="6">
        <v>-33813.416582778213</v>
      </c>
    </row>
    <row r="245" spans="1:9">
      <c r="A245">
        <v>763159.92</v>
      </c>
      <c r="B245">
        <v>53546.34</v>
      </c>
      <c r="G245" s="6">
        <v>218</v>
      </c>
      <c r="H245" s="6">
        <v>633155.92486809066</v>
      </c>
      <c r="I245" s="6">
        <v>-10263.504868090618</v>
      </c>
    </row>
    <row r="246" spans="1:9">
      <c r="A246">
        <v>802001.68</v>
      </c>
      <c r="B246">
        <v>76942.2</v>
      </c>
      <c r="G246" s="6">
        <v>219</v>
      </c>
      <c r="H246" s="6">
        <v>685965.13384166313</v>
      </c>
      <c r="I246" s="6">
        <v>-12616.573841663077</v>
      </c>
    </row>
    <row r="247" spans="1:9">
      <c r="A247">
        <v>750471.34</v>
      </c>
      <c r="B247">
        <v>48060.78</v>
      </c>
      <c r="G247" s="6">
        <v>220</v>
      </c>
      <c r="H247" s="6">
        <v>595812.79930264573</v>
      </c>
      <c r="I247" s="6">
        <v>10465.50069735432</v>
      </c>
    </row>
    <row r="248" spans="1:9">
      <c r="A248">
        <v>679230.86</v>
      </c>
      <c r="B248">
        <v>57390.04</v>
      </c>
      <c r="G248" s="6">
        <v>221</v>
      </c>
      <c r="H248" s="6">
        <v>674427.94654691254</v>
      </c>
      <c r="I248" s="6">
        <v>37791.863453087513</v>
      </c>
    </row>
    <row r="249" spans="1:9">
      <c r="A249">
        <v>679888.74</v>
      </c>
      <c r="B249">
        <v>21536.18</v>
      </c>
      <c r="G249" s="6">
        <v>222</v>
      </c>
      <c r="H249" s="6">
        <v>618690.37983612448</v>
      </c>
      <c r="I249" s="6">
        <v>53980.160163875553</v>
      </c>
    </row>
    <row r="250" spans="1:9">
      <c r="A250">
        <v>606783.67000000004</v>
      </c>
      <c r="B250">
        <v>40923.67</v>
      </c>
      <c r="G250" s="6">
        <v>223</v>
      </c>
      <c r="H250" s="6">
        <v>703379.54442124953</v>
      </c>
      <c r="I250" s="6">
        <v>29288.375578750507</v>
      </c>
    </row>
    <row r="251" spans="1:9">
      <c r="A251">
        <v>642751.42000000004</v>
      </c>
      <c r="B251">
        <v>72932.55</v>
      </c>
      <c r="G251" s="6">
        <v>224</v>
      </c>
      <c r="H251" s="6">
        <v>717388.42331996735</v>
      </c>
      <c r="I251" s="6">
        <v>6142.9766800326761</v>
      </c>
    </row>
    <row r="252" spans="1:9">
      <c r="A252">
        <v>647953.78</v>
      </c>
      <c r="B252">
        <v>38361.93</v>
      </c>
      <c r="G252" s="6">
        <v>225</v>
      </c>
      <c r="H252" s="6">
        <v>706040.55527183937</v>
      </c>
      <c r="I252" s="6">
        <v>-64475.955271839397</v>
      </c>
    </row>
    <row r="253" spans="1:9">
      <c r="A253">
        <v>729440.45</v>
      </c>
      <c r="B253">
        <v>97480.94</v>
      </c>
      <c r="G253" s="6">
        <v>226</v>
      </c>
      <c r="H253" s="6">
        <v>682644.38055458595</v>
      </c>
      <c r="I253" s="6">
        <v>-146098.89055458596</v>
      </c>
    </row>
    <row r="254" spans="1:9">
      <c r="A254">
        <v>764949</v>
      </c>
      <c r="B254">
        <v>81801.8</v>
      </c>
      <c r="G254" s="6">
        <v>227</v>
      </c>
      <c r="H254" s="6">
        <v>652204.31600503006</v>
      </c>
      <c r="I254" s="6">
        <v>-124522.75600503001</v>
      </c>
    </row>
    <row r="255" spans="1:9">
      <c r="A255">
        <v>799046.94</v>
      </c>
      <c r="B255">
        <v>63582.11</v>
      </c>
      <c r="G255" s="6">
        <v>228</v>
      </c>
      <c r="H255" s="6">
        <v>644557.92672104586</v>
      </c>
      <c r="I255" s="6">
        <v>-114958.98672104592</v>
      </c>
    </row>
    <row r="256" spans="1:9">
      <c r="A256">
        <v>720079.54</v>
      </c>
      <c r="B256">
        <v>75412.740000000005</v>
      </c>
      <c r="G256" s="6">
        <v>229</v>
      </c>
      <c r="H256" s="6">
        <v>640262.10477872519</v>
      </c>
      <c r="I256" s="6">
        <v>-69298.794778725132</v>
      </c>
    </row>
    <row r="257" spans="1:9">
      <c r="A257">
        <v>612390.14</v>
      </c>
      <c r="B257">
        <v>36290.080000000002</v>
      </c>
      <c r="G257" s="6">
        <v>230</v>
      </c>
      <c r="H257" s="6">
        <v>802986.72490819369</v>
      </c>
      <c r="I257" s="6">
        <v>67950.675091806334</v>
      </c>
    </row>
    <row r="258" spans="1:9">
      <c r="A258">
        <v>840108.12</v>
      </c>
      <c r="B258">
        <v>65272.58</v>
      </c>
      <c r="G258" s="6">
        <v>231</v>
      </c>
      <c r="H258" s="6">
        <v>631423.77088813565</v>
      </c>
      <c r="I258" s="6">
        <v>-34454.500888135633</v>
      </c>
    </row>
    <row r="259" spans="1:9">
      <c r="A259">
        <v>697888.09</v>
      </c>
      <c r="B259">
        <v>28670.43</v>
      </c>
      <c r="G259" s="6">
        <v>232</v>
      </c>
      <c r="H259" s="6">
        <v>615758.89162317745</v>
      </c>
      <c r="I259" s="6">
        <v>31753.958376822527</v>
      </c>
    </row>
    <row r="260" spans="1:9">
      <c r="A260">
        <v>746115.59</v>
      </c>
      <c r="B260">
        <v>44189.34</v>
      </c>
      <c r="G260" s="6">
        <v>233</v>
      </c>
      <c r="H260" s="6">
        <v>661382.57270940952</v>
      </c>
      <c r="I260" s="6">
        <v>-3310.4327094095061</v>
      </c>
    </row>
    <row r="261" spans="1:9">
      <c r="A261">
        <v>776110.32</v>
      </c>
      <c r="B261">
        <v>38397.82</v>
      </c>
      <c r="G261" s="6">
        <v>234</v>
      </c>
      <c r="H261" s="6">
        <v>692067.34675985877</v>
      </c>
      <c r="I261" s="6">
        <v>31237.763240141212</v>
      </c>
    </row>
    <row r="262" spans="1:9">
      <c r="A262">
        <v>528852.62</v>
      </c>
      <c r="B262">
        <v>14519.37</v>
      </c>
      <c r="G262" s="6">
        <v>235</v>
      </c>
      <c r="H262" s="6">
        <v>694051.9405991463</v>
      </c>
      <c r="I262" s="6">
        <v>-53385.410599146271</v>
      </c>
    </row>
    <row r="263" spans="1:9">
      <c r="A263">
        <v>605751.32999999996</v>
      </c>
      <c r="B263">
        <v>43288.2</v>
      </c>
      <c r="G263" s="6">
        <v>236</v>
      </c>
      <c r="H263" s="6">
        <v>662878.00309594965</v>
      </c>
      <c r="I263" s="6">
        <v>7751.4769040503306</v>
      </c>
    </row>
    <row r="264" spans="1:9">
      <c r="A264">
        <v>677640.65</v>
      </c>
      <c r="B264">
        <v>51450.55</v>
      </c>
      <c r="G264" s="6">
        <v>237</v>
      </c>
      <c r="H264" s="6">
        <v>659792.80213585717</v>
      </c>
      <c r="I264" s="6">
        <v>61286.547864142805</v>
      </c>
    </row>
    <row r="265" spans="1:9">
      <c r="A265">
        <v>636613.23</v>
      </c>
      <c r="B265">
        <v>58688.26</v>
      </c>
      <c r="G265" s="6">
        <v>238</v>
      </c>
      <c r="H265" s="6">
        <v>716155.31402227969</v>
      </c>
      <c r="I265" s="6">
        <v>94199.705977720325</v>
      </c>
    </row>
    <row r="266" spans="1:9">
      <c r="A266">
        <v>708985.19</v>
      </c>
      <c r="B266">
        <v>58981.91</v>
      </c>
      <c r="G266" s="6">
        <v>239</v>
      </c>
      <c r="H266" s="6">
        <v>686550.17077565868</v>
      </c>
      <c r="I266" s="6">
        <v>75369.079224341316</v>
      </c>
    </row>
    <row r="267" spans="1:9">
      <c r="A267">
        <v>767792.94</v>
      </c>
      <c r="B267">
        <v>73454.539999999994</v>
      </c>
      <c r="G267" s="6">
        <v>240</v>
      </c>
      <c r="H267" s="6">
        <v>616674.65160554764</v>
      </c>
      <c r="I267" s="6">
        <v>120395.52839445241</v>
      </c>
    </row>
    <row r="268" spans="1:9">
      <c r="A268">
        <v>745580.51</v>
      </c>
      <c r="B268">
        <v>56602.39</v>
      </c>
      <c r="G268" s="6">
        <v>241</v>
      </c>
      <c r="H268" s="6">
        <v>709634.91639700532</v>
      </c>
      <c r="I268" s="6">
        <v>67358.013602994732</v>
      </c>
    </row>
    <row r="269" spans="1:9">
      <c r="A269">
        <v>762328.31</v>
      </c>
      <c r="B269">
        <v>67722.289999999994</v>
      </c>
      <c r="G269" s="6">
        <v>242</v>
      </c>
      <c r="H269" s="6">
        <v>671050.16323256248</v>
      </c>
      <c r="I269" s="6">
        <v>5287.2467674375512</v>
      </c>
    </row>
    <row r="270" spans="1:9">
      <c r="A270">
        <v>660633.99</v>
      </c>
      <c r="B270">
        <v>48752.92</v>
      </c>
      <c r="G270" s="6">
        <v>243</v>
      </c>
      <c r="H270" s="6">
        <v>711550.511995679</v>
      </c>
      <c r="I270" s="6">
        <v>116669.15800432104</v>
      </c>
    </row>
    <row r="271" spans="1:9">
      <c r="A271">
        <v>739374.56</v>
      </c>
      <c r="B271">
        <v>23914.97</v>
      </c>
      <c r="G271" s="6">
        <v>244</v>
      </c>
      <c r="H271" s="6">
        <v>674808.30999617337</v>
      </c>
      <c r="I271" s="6">
        <v>88351.610003826674</v>
      </c>
    </row>
    <row r="272" spans="1:9">
      <c r="A272">
        <v>799756.46</v>
      </c>
      <c r="B272">
        <v>61995.3</v>
      </c>
      <c r="G272" s="6">
        <v>245</v>
      </c>
      <c r="H272" s="6">
        <v>724631.55621991912</v>
      </c>
      <c r="I272" s="6">
        <v>77370.123780080932</v>
      </c>
    </row>
    <row r="273" spans="1:9">
      <c r="A273">
        <v>593343</v>
      </c>
      <c r="B273">
        <v>29344.93</v>
      </c>
      <c r="G273" s="6">
        <v>246</v>
      </c>
      <c r="H273" s="6">
        <v>663126.39676215965</v>
      </c>
      <c r="I273" s="6">
        <v>87344.943237840314</v>
      </c>
    </row>
    <row r="274" spans="1:9">
      <c r="A274">
        <v>645039.97</v>
      </c>
      <c r="B274">
        <v>50532.17</v>
      </c>
      <c r="G274" s="6">
        <v>247</v>
      </c>
      <c r="H274" s="6">
        <v>682993.75868283038</v>
      </c>
      <c r="I274" s="6">
        <v>-3762.8986828303896</v>
      </c>
    </row>
    <row r="275" spans="1:9">
      <c r="A275">
        <v>561597.32999999996</v>
      </c>
      <c r="B275">
        <v>17562.57</v>
      </c>
      <c r="G275" s="6">
        <v>248</v>
      </c>
      <c r="H275" s="6">
        <v>606640.26302797056</v>
      </c>
      <c r="I275" s="6">
        <v>73248.476972029428</v>
      </c>
    </row>
    <row r="276" spans="1:9">
      <c r="A276">
        <v>635837.74</v>
      </c>
      <c r="B276">
        <v>47648.71</v>
      </c>
      <c r="G276" s="6">
        <v>249</v>
      </c>
      <c r="H276" s="6">
        <v>647927.38339586509</v>
      </c>
      <c r="I276" s="6">
        <v>-41143.713395865052</v>
      </c>
    </row>
    <row r="277" spans="1:9">
      <c r="A277">
        <v>686737.87</v>
      </c>
      <c r="B277">
        <v>38297.58</v>
      </c>
      <c r="G277" s="6">
        <v>250</v>
      </c>
      <c r="H277" s="6">
        <v>716092.7045076486</v>
      </c>
      <c r="I277" s="6">
        <v>-73341.284507648554</v>
      </c>
    </row>
    <row r="278" spans="1:9">
      <c r="A278">
        <v>673076.34</v>
      </c>
      <c r="B278">
        <v>61784.11</v>
      </c>
      <c r="G278" s="6">
        <v>251</v>
      </c>
      <c r="H278" s="6">
        <v>642471.96509616508</v>
      </c>
      <c r="I278" s="6">
        <v>5481.8149038349511</v>
      </c>
    </row>
    <row r="279" spans="1:9">
      <c r="A279">
        <v>738548.42</v>
      </c>
      <c r="B279">
        <v>36832.33</v>
      </c>
      <c r="G279" s="6">
        <v>252</v>
      </c>
      <c r="H279" s="6">
        <v>768370.35018370138</v>
      </c>
      <c r="I279" s="6">
        <v>-38929.900183701422</v>
      </c>
    </row>
    <row r="280" spans="1:9">
      <c r="A280">
        <v>756619.77</v>
      </c>
      <c r="B280">
        <v>48609.41</v>
      </c>
      <c r="G280" s="6">
        <v>253</v>
      </c>
      <c r="H280" s="6">
        <v>734980.44048187463</v>
      </c>
      <c r="I280" s="6">
        <v>29968.559518125374</v>
      </c>
    </row>
    <row r="281" spans="1:9">
      <c r="A281">
        <v>761122.42</v>
      </c>
      <c r="B281">
        <v>70284.06</v>
      </c>
      <c r="G281" s="6">
        <v>254</v>
      </c>
      <c r="H281" s="6">
        <v>696180.23818153958</v>
      </c>
      <c r="I281" s="6">
        <v>102866.70181846037</v>
      </c>
    </row>
    <row r="282" spans="1:9">
      <c r="A282">
        <v>524899.56999999995</v>
      </c>
      <c r="B282">
        <v>45940.39</v>
      </c>
      <c r="G282" s="6">
        <v>255</v>
      </c>
      <c r="H282" s="6">
        <v>721374.4559393836</v>
      </c>
      <c r="I282" s="6">
        <v>-1294.915939383558</v>
      </c>
    </row>
    <row r="283" spans="1:9">
      <c r="A283">
        <v>555557.77</v>
      </c>
      <c r="B283">
        <v>34771.26</v>
      </c>
      <c r="G283" s="6">
        <v>256</v>
      </c>
      <c r="H283" s="6">
        <v>638059.8044536981</v>
      </c>
      <c r="I283" s="6">
        <v>-25669.664453698089</v>
      </c>
    </row>
    <row r="284" spans="1:9">
      <c r="A284">
        <v>714083.68</v>
      </c>
      <c r="B284">
        <v>66104.19</v>
      </c>
      <c r="G284" s="6">
        <v>257</v>
      </c>
      <c r="H284" s="6">
        <v>699780.22138557024</v>
      </c>
      <c r="I284" s="6">
        <v>140327.89861442975</v>
      </c>
    </row>
    <row r="285" spans="1:9">
      <c r="A285">
        <v>497439.82</v>
      </c>
      <c r="B285">
        <v>18599.21</v>
      </c>
      <c r="G285" s="6">
        <v>258</v>
      </c>
      <c r="H285" s="6">
        <v>621833.18580882833</v>
      </c>
      <c r="I285" s="6">
        <v>76054.904191171634</v>
      </c>
    </row>
    <row r="286" spans="1:9">
      <c r="A286">
        <v>636775.66</v>
      </c>
      <c r="B286">
        <v>60183.06</v>
      </c>
      <c r="G286" s="6">
        <v>259</v>
      </c>
      <c r="H286" s="6">
        <v>654881.87365591538</v>
      </c>
      <c r="I286" s="6">
        <v>91233.716344084591</v>
      </c>
    </row>
    <row r="287" spans="1:9">
      <c r="A287">
        <v>633009.53</v>
      </c>
      <c r="B287">
        <v>74539.14</v>
      </c>
      <c r="G287" s="6">
        <v>260</v>
      </c>
      <c r="H287" s="6">
        <v>642548.39555467223</v>
      </c>
      <c r="I287" s="6">
        <v>133561.92444532772</v>
      </c>
    </row>
    <row r="288" spans="1:9">
      <c r="A288">
        <v>609949</v>
      </c>
      <c r="B288">
        <v>55371.97</v>
      </c>
      <c r="G288" s="6">
        <v>261</v>
      </c>
      <c r="H288" s="6">
        <v>591697.43757358496</v>
      </c>
      <c r="I288" s="6">
        <v>-62844.817573584965</v>
      </c>
    </row>
    <row r="289" spans="1:9">
      <c r="A289">
        <v>548103.69999999995</v>
      </c>
      <c r="B289">
        <v>40928.69</v>
      </c>
      <c r="G289" s="6">
        <v>262</v>
      </c>
      <c r="H289" s="6">
        <v>652962.82814521098</v>
      </c>
      <c r="I289" s="6">
        <v>-47211.498145211022</v>
      </c>
    </row>
    <row r="290" spans="1:9">
      <c r="A290">
        <v>729424.42</v>
      </c>
      <c r="B290">
        <v>70012.41</v>
      </c>
      <c r="G290" s="6">
        <v>263</v>
      </c>
      <c r="H290" s="6">
        <v>670345.16732036392</v>
      </c>
      <c r="I290" s="6">
        <v>7295.4826796361012</v>
      </c>
    </row>
    <row r="291" spans="1:9">
      <c r="A291">
        <v>696261.49</v>
      </c>
      <c r="B291">
        <v>68909.259999999995</v>
      </c>
      <c r="G291" s="6">
        <v>264</v>
      </c>
      <c r="H291" s="6">
        <v>685758.41596461402</v>
      </c>
      <c r="I291" s="6">
        <v>-49145.185964614036</v>
      </c>
    </row>
    <row r="292" spans="1:9">
      <c r="A292">
        <v>813316.71</v>
      </c>
      <c r="B292">
        <v>56737.3</v>
      </c>
      <c r="G292" s="6">
        <v>265</v>
      </c>
      <c r="H292" s="6">
        <v>686383.76575956075</v>
      </c>
      <c r="I292" s="6">
        <v>22601.424240439199</v>
      </c>
    </row>
    <row r="293" spans="1:9">
      <c r="A293">
        <v>702068.92</v>
      </c>
      <c r="B293">
        <v>54080.91</v>
      </c>
      <c r="G293" s="6">
        <v>266</v>
      </c>
      <c r="H293" s="6">
        <v>717204.32153289719</v>
      </c>
      <c r="I293" s="6">
        <v>50588.618467102759</v>
      </c>
    </row>
    <row r="294" spans="1:9">
      <c r="A294">
        <v>546223.69999999995</v>
      </c>
      <c r="B294">
        <v>51996.32</v>
      </c>
      <c r="G294" s="6">
        <v>267</v>
      </c>
      <c r="H294" s="6">
        <v>681316.3986760542</v>
      </c>
      <c r="I294" s="6">
        <v>64264.111323945806</v>
      </c>
    </row>
    <row r="295" spans="1:9">
      <c r="A295">
        <v>533121.26</v>
      </c>
      <c r="B295">
        <v>40102.879999999997</v>
      </c>
      <c r="G295" s="6">
        <v>268</v>
      </c>
      <c r="H295" s="6">
        <v>704997.06336132041</v>
      </c>
      <c r="I295" s="6">
        <v>57331.246638679644</v>
      </c>
    </row>
    <row r="296" spans="1:9">
      <c r="A296">
        <v>498970.32</v>
      </c>
      <c r="B296">
        <v>59825.51</v>
      </c>
      <c r="G296" s="6">
        <v>269</v>
      </c>
      <c r="H296" s="6">
        <v>664600.3610293977</v>
      </c>
      <c r="I296" s="6">
        <v>-3966.3710293977056</v>
      </c>
    </row>
    <row r="297" spans="1:9">
      <c r="A297">
        <v>487738.26</v>
      </c>
      <c r="B297">
        <v>27398.28</v>
      </c>
      <c r="G297" s="6">
        <v>270</v>
      </c>
      <c r="H297" s="6">
        <v>611706.07552148798</v>
      </c>
      <c r="I297" s="6">
        <v>127668.48447851208</v>
      </c>
    </row>
    <row r="298" spans="1:9">
      <c r="A298">
        <v>668459.37</v>
      </c>
      <c r="B298">
        <v>55599.56</v>
      </c>
      <c r="G298" s="6">
        <v>271</v>
      </c>
      <c r="H298" s="6">
        <v>692801.00675596669</v>
      </c>
      <c r="I298" s="6">
        <v>106955.45324403327</v>
      </c>
    </row>
    <row r="299" spans="1:9">
      <c r="A299">
        <v>763162.45</v>
      </c>
      <c r="B299">
        <v>55477.61</v>
      </c>
      <c r="G299" s="6">
        <v>272</v>
      </c>
      <c r="H299" s="6">
        <v>623269.58436728758</v>
      </c>
      <c r="I299" s="6">
        <v>-29926.584367287578</v>
      </c>
    </row>
    <row r="300" spans="1:9">
      <c r="A300">
        <v>599017.32999999996</v>
      </c>
      <c r="B300">
        <v>46174.7</v>
      </c>
      <c r="G300" s="6">
        <v>273</v>
      </c>
      <c r="H300" s="6">
        <v>668389.40793101187</v>
      </c>
      <c r="I300" s="6">
        <v>-23349.437931011897</v>
      </c>
    </row>
    <row r="301" spans="1:9">
      <c r="A301">
        <v>401582.58</v>
      </c>
      <c r="B301">
        <v>24362.98</v>
      </c>
      <c r="G301" s="6">
        <v>274</v>
      </c>
      <c r="H301" s="6">
        <v>598178.16121050634</v>
      </c>
      <c r="I301" s="6">
        <v>-36580.831210506381</v>
      </c>
    </row>
    <row r="302" spans="1:9">
      <c r="A302">
        <v>703812.99</v>
      </c>
      <c r="B302">
        <v>40647.67</v>
      </c>
      <c r="G302" s="6">
        <v>275</v>
      </c>
      <c r="H302" s="6">
        <v>662248.86265691975</v>
      </c>
      <c r="I302" s="6">
        <v>-26411.122656919761</v>
      </c>
    </row>
    <row r="303" spans="1:9">
      <c r="A303">
        <v>724346.73</v>
      </c>
      <c r="B303">
        <v>63986.98</v>
      </c>
      <c r="G303" s="6">
        <v>276</v>
      </c>
      <c r="H303" s="6">
        <v>642334.92692383472</v>
      </c>
      <c r="I303" s="6">
        <v>44402.943076165277</v>
      </c>
    </row>
    <row r="304" spans="1:9">
      <c r="A304">
        <v>730890.01</v>
      </c>
      <c r="B304">
        <v>52843.75</v>
      </c>
      <c r="G304" s="6">
        <v>277</v>
      </c>
      <c r="H304" s="6">
        <v>692351.26174253295</v>
      </c>
      <c r="I304" s="6">
        <v>-19274.921742532984</v>
      </c>
    </row>
    <row r="305" spans="1:9">
      <c r="A305">
        <v>780580.95</v>
      </c>
      <c r="B305">
        <v>31997.25</v>
      </c>
      <c r="G305" s="6">
        <v>278</v>
      </c>
      <c r="H305" s="6">
        <v>639214.56667508371</v>
      </c>
      <c r="I305" s="6">
        <v>99333.85332491633</v>
      </c>
    </row>
    <row r="306" spans="1:9">
      <c r="A306">
        <v>727957.48</v>
      </c>
      <c r="B306">
        <v>54948.02</v>
      </c>
      <c r="G306" s="6">
        <v>279</v>
      </c>
      <c r="H306" s="6">
        <v>664294.74567413528</v>
      </c>
      <c r="I306" s="6">
        <v>92325.024325864739</v>
      </c>
    </row>
    <row r="307" spans="1:9">
      <c r="A307">
        <v>538376</v>
      </c>
      <c r="B307">
        <v>46146.239999999998</v>
      </c>
      <c r="G307" s="6">
        <v>280</v>
      </c>
      <c r="H307" s="6">
        <v>710452.54554828024</v>
      </c>
      <c r="I307" s="6">
        <v>50669.874451719807</v>
      </c>
    </row>
    <row r="308" spans="1:9">
      <c r="A308">
        <v>665342.49</v>
      </c>
      <c r="B308">
        <v>22387.26</v>
      </c>
      <c r="G308" s="6">
        <v>281</v>
      </c>
      <c r="H308" s="6">
        <v>658610.86653329153</v>
      </c>
      <c r="I308" s="6">
        <v>-133711.29653329158</v>
      </c>
    </row>
    <row r="309" spans="1:9">
      <c r="A309">
        <v>651164.18000000005</v>
      </c>
      <c r="B309">
        <v>60684.05</v>
      </c>
      <c r="G309" s="6">
        <v>282</v>
      </c>
      <c r="H309" s="6">
        <v>634825.36285464815</v>
      </c>
      <c r="I309" s="6">
        <v>-79267.59285464813</v>
      </c>
    </row>
    <row r="310" spans="1:9">
      <c r="A310">
        <v>628538.30000000005</v>
      </c>
      <c r="B310">
        <v>48465.599999999999</v>
      </c>
      <c r="G310" s="6">
        <v>283</v>
      </c>
      <c r="H310" s="6">
        <v>701551.19752374734</v>
      </c>
      <c r="I310" s="6">
        <v>12532.482476252713</v>
      </c>
    </row>
    <row r="311" spans="1:9">
      <c r="A311">
        <v>536524.84</v>
      </c>
      <c r="B311">
        <v>23702.38</v>
      </c>
      <c r="G311" s="6">
        <v>284</v>
      </c>
      <c r="H311" s="6">
        <v>600385.76417809899</v>
      </c>
      <c r="I311" s="6">
        <v>-102945.94417809899</v>
      </c>
    </row>
    <row r="312" spans="1:9">
      <c r="A312">
        <v>621677.30000000005</v>
      </c>
      <c r="B312">
        <v>54322.94</v>
      </c>
      <c r="G312" s="6">
        <v>285</v>
      </c>
      <c r="H312" s="6">
        <v>688941.70516429527</v>
      </c>
      <c r="I312" s="6">
        <v>-52166.045164295239</v>
      </c>
    </row>
    <row r="313" spans="1:9">
      <c r="A313">
        <v>771129.07</v>
      </c>
      <c r="B313">
        <v>86026.58</v>
      </c>
      <c r="G313" s="6">
        <v>286</v>
      </c>
      <c r="H313" s="6">
        <v>719514.05893320113</v>
      </c>
      <c r="I313" s="6">
        <v>-86504.528933201102</v>
      </c>
    </row>
    <row r="314" spans="1:9">
      <c r="A314">
        <v>702052.47</v>
      </c>
      <c r="B314">
        <v>78967.520000000004</v>
      </c>
      <c r="G314" s="6">
        <v>287</v>
      </c>
      <c r="H314" s="6">
        <v>678696.12660148111</v>
      </c>
      <c r="I314" s="6">
        <v>-68747.126601481112</v>
      </c>
    </row>
    <row r="315" spans="1:9">
      <c r="A315">
        <v>688368.46</v>
      </c>
      <c r="B315">
        <v>46767.99</v>
      </c>
      <c r="G315" s="6">
        <v>288</v>
      </c>
      <c r="H315" s="6">
        <v>647938.07386400958</v>
      </c>
      <c r="I315" s="6">
        <v>-99834.373864009627</v>
      </c>
    </row>
    <row r="316" spans="1:9">
      <c r="A316">
        <v>712375.77</v>
      </c>
      <c r="B316">
        <v>62507.16</v>
      </c>
      <c r="G316" s="6">
        <v>289</v>
      </c>
      <c r="H316" s="6">
        <v>709874.04641054035</v>
      </c>
      <c r="I316" s="6">
        <v>19550.37358945969</v>
      </c>
    </row>
    <row r="317" spans="1:9">
      <c r="A317">
        <v>844710.67</v>
      </c>
      <c r="B317">
        <v>66456.28</v>
      </c>
      <c r="G317" s="6">
        <v>290</v>
      </c>
      <c r="H317" s="6">
        <v>707524.80538790964</v>
      </c>
      <c r="I317" s="6">
        <v>-11263.31538790965</v>
      </c>
    </row>
    <row r="318" spans="1:9">
      <c r="A318">
        <v>620264.19999999995</v>
      </c>
      <c r="B318">
        <v>76614.320000000007</v>
      </c>
      <c r="G318" s="6">
        <v>291</v>
      </c>
      <c r="H318" s="6">
        <v>681603.69968349941</v>
      </c>
      <c r="I318" s="6">
        <v>131713.01031650056</v>
      </c>
    </row>
    <row r="319" spans="1:9">
      <c r="A319">
        <v>536845.42000000004</v>
      </c>
      <c r="B319">
        <v>24088.06</v>
      </c>
      <c r="G319" s="6">
        <v>292</v>
      </c>
      <c r="H319" s="6">
        <v>675946.71707904304</v>
      </c>
      <c r="I319" s="6">
        <v>26122.202920957003</v>
      </c>
    </row>
    <row r="320" spans="1:9">
      <c r="A320">
        <v>726776.22</v>
      </c>
      <c r="B320">
        <v>81902.58</v>
      </c>
      <c r="G320" s="6">
        <v>293</v>
      </c>
      <c r="H320" s="6">
        <v>671507.42564690253</v>
      </c>
      <c r="I320" s="6">
        <v>-125283.72564690257</v>
      </c>
    </row>
    <row r="321" spans="1:9">
      <c r="A321">
        <v>559660.84</v>
      </c>
      <c r="B321">
        <v>40553.11</v>
      </c>
      <c r="G321" s="6">
        <v>294</v>
      </c>
      <c r="H321" s="6">
        <v>646179.44926273264</v>
      </c>
      <c r="I321" s="6">
        <v>-113058.18926273263</v>
      </c>
    </row>
    <row r="322" spans="1:9">
      <c r="G322" s="6">
        <v>295</v>
      </c>
      <c r="H322" s="6">
        <v>688180.27550591552</v>
      </c>
      <c r="I322" s="6">
        <v>-189209.95550591551</v>
      </c>
    </row>
    <row r="323" spans="1:9">
      <c r="G323" s="6">
        <v>296</v>
      </c>
      <c r="H323" s="6">
        <v>619124.04655583482</v>
      </c>
      <c r="I323" s="6">
        <v>-131385.78655583481</v>
      </c>
    </row>
    <row r="324" spans="1:9">
      <c r="G324" s="6">
        <v>297</v>
      </c>
      <c r="H324" s="6">
        <v>679180.79665028735</v>
      </c>
      <c r="I324" s="6">
        <v>-10721.426650287351</v>
      </c>
    </row>
    <row r="325" spans="1:9">
      <c r="G325" s="6">
        <v>298</v>
      </c>
      <c r="H325" s="6">
        <v>678921.09493908775</v>
      </c>
      <c r="I325" s="6">
        <v>84241.355060912203</v>
      </c>
    </row>
    <row r="326" spans="1:9">
      <c r="G326" s="6">
        <v>299</v>
      </c>
      <c r="H326" s="6">
        <v>659109.84732829907</v>
      </c>
      <c r="I326" s="6">
        <v>-60092.517328299116</v>
      </c>
    </row>
    <row r="327" spans="1:9">
      <c r="G327" s="6">
        <v>300</v>
      </c>
      <c r="H327" s="6">
        <v>612660.14656400145</v>
      </c>
      <c r="I327" s="6">
        <v>-211077.56656400143</v>
      </c>
    </row>
    <row r="328" spans="1:9">
      <c r="G328" s="6">
        <v>301</v>
      </c>
      <c r="H328" s="6">
        <v>647339.62060545024</v>
      </c>
      <c r="I328" s="6">
        <v>56473.369394549751</v>
      </c>
    </row>
    <row r="329" spans="1:9">
      <c r="G329" s="6">
        <v>302</v>
      </c>
      <c r="H329" s="6">
        <v>697042.4393444208</v>
      </c>
      <c r="I329" s="6">
        <v>27304.290655579185</v>
      </c>
    </row>
    <row r="330" spans="1:9">
      <c r="G330" s="6">
        <v>303</v>
      </c>
      <c r="H330" s="6">
        <v>673312.09166676202</v>
      </c>
      <c r="I330" s="6">
        <v>57577.918333237991</v>
      </c>
    </row>
    <row r="331" spans="1:9">
      <c r="G331" s="6">
        <v>304</v>
      </c>
      <c r="H331" s="6">
        <v>628917.89960016066</v>
      </c>
      <c r="I331" s="6">
        <v>151663.0503998393</v>
      </c>
    </row>
    <row r="332" spans="1:9">
      <c r="G332" s="6">
        <v>305</v>
      </c>
      <c r="H332" s="6">
        <v>677793.29314134945</v>
      </c>
      <c r="I332" s="6">
        <v>50164.18685865053</v>
      </c>
    </row>
    <row r="333" spans="1:9">
      <c r="G333" s="6">
        <v>306</v>
      </c>
      <c r="H333" s="6">
        <v>659049.23961447587</v>
      </c>
      <c r="I333" s="6">
        <v>-120673.23961447587</v>
      </c>
    </row>
    <row r="334" spans="1:9">
      <c r="G334" s="6">
        <v>307</v>
      </c>
      <c r="H334" s="6">
        <v>608452.7019977757</v>
      </c>
      <c r="I334" s="6">
        <v>56889.78800222429</v>
      </c>
    </row>
    <row r="335" spans="1:9">
      <c r="G335" s="6">
        <v>308</v>
      </c>
      <c r="H335" s="6">
        <v>690008.60110766452</v>
      </c>
      <c r="I335" s="6">
        <v>-38844.421107664471</v>
      </c>
    </row>
    <row r="336" spans="1:9">
      <c r="G336" s="6">
        <v>309</v>
      </c>
      <c r="H336" s="6">
        <v>663988.49144627457</v>
      </c>
      <c r="I336" s="6">
        <v>-35450.191446274519</v>
      </c>
    </row>
    <row r="337" spans="7:9">
      <c r="G337" s="6">
        <v>310</v>
      </c>
      <c r="H337" s="6">
        <v>611253.34910259559</v>
      </c>
      <c r="I337" s="6">
        <v>-74728.509102595621</v>
      </c>
    </row>
    <row r="338" spans="7:9">
      <c r="G338" s="6">
        <v>311</v>
      </c>
      <c r="H338" s="6">
        <v>676462.13819557964</v>
      </c>
      <c r="I338" s="6">
        <v>-54784.838195579592</v>
      </c>
    </row>
    <row r="339" spans="7:9">
      <c r="G339" s="6">
        <v>312</v>
      </c>
      <c r="H339" s="6">
        <v>743977.42773436964</v>
      </c>
      <c r="I339" s="6">
        <v>27151.642265630304</v>
      </c>
    </row>
    <row r="340" spans="7:9">
      <c r="G340" s="6">
        <v>313</v>
      </c>
      <c r="H340" s="6">
        <v>728944.62772239337</v>
      </c>
      <c r="I340" s="6">
        <v>-26892.1577223934</v>
      </c>
    </row>
    <row r="341" spans="7:9">
      <c r="G341" s="6">
        <v>314</v>
      </c>
      <c r="H341" s="6">
        <v>660373.30307440483</v>
      </c>
      <c r="I341" s="6">
        <v>27995.156925595133</v>
      </c>
    </row>
    <row r="342" spans="7:9">
      <c r="G342" s="6">
        <v>315</v>
      </c>
      <c r="H342" s="6">
        <v>693891.05118314689</v>
      </c>
      <c r="I342" s="6">
        <v>18484.718816853128</v>
      </c>
    </row>
    <row r="343" spans="7:9">
      <c r="G343" s="6">
        <v>316</v>
      </c>
      <c r="H343" s="6">
        <v>702300.99970083835</v>
      </c>
      <c r="I343" s="6">
        <v>142409.67029916169</v>
      </c>
    </row>
    <row r="344" spans="7:9">
      <c r="G344" s="6">
        <v>317</v>
      </c>
      <c r="H344" s="6">
        <v>723933.31106150895</v>
      </c>
      <c r="I344" s="6">
        <v>-103669.111061509</v>
      </c>
    </row>
    <row r="345" spans="7:9">
      <c r="G345" s="6">
        <v>318</v>
      </c>
      <c r="H345" s="6">
        <v>612074.68371494045</v>
      </c>
      <c r="I345" s="6">
        <v>-75229.263714940404</v>
      </c>
    </row>
    <row r="346" spans="7:9">
      <c r="G346" s="6">
        <v>319</v>
      </c>
      <c r="H346" s="6">
        <v>735195.05908338912</v>
      </c>
      <c r="I346" s="6">
        <v>-8418.8390833891463</v>
      </c>
    </row>
    <row r="347" spans="7:9" ht="15" thickBot="1">
      <c r="G347" s="7">
        <v>320</v>
      </c>
      <c r="H347" s="7">
        <v>647138.24796247343</v>
      </c>
      <c r="I347" s="7">
        <v>-87477.407962473459</v>
      </c>
    </row>
  </sheetData>
  <mergeCells count="1">
    <mergeCell ref="G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31E6-078C-4D80-BF56-1706AD972545}">
  <dimension ref="A1:M348"/>
  <sheetViews>
    <sheetView workbookViewId="0">
      <selection sqref="A1:A1048576"/>
    </sheetView>
  </sheetViews>
  <sheetFormatPr defaultRowHeight="14.4"/>
  <cols>
    <col min="1" max="1" width="13.88671875" customWidth="1"/>
    <col min="2" max="2" width="12.88671875" customWidth="1"/>
    <col min="5" max="5" width="12.88671875" customWidth="1"/>
    <col min="6" max="6" width="16.109375" customWidth="1"/>
    <col min="7" max="7" width="16.5546875" customWidth="1"/>
    <col min="8" max="8" width="14" customWidth="1"/>
    <col min="9" max="9" width="11.88671875" customWidth="1"/>
    <col min="10" max="10" width="13.5546875" customWidth="1"/>
    <col min="11" max="11" width="13.77734375" customWidth="1"/>
    <col min="12" max="12" width="12.6640625" customWidth="1"/>
    <col min="13" max="13" width="13" customWidth="1"/>
  </cols>
  <sheetData>
    <row r="1" spans="1:10">
      <c r="A1" s="13" t="s">
        <v>12</v>
      </c>
      <c r="B1" s="12" t="s">
        <v>5</v>
      </c>
    </row>
    <row r="2" spans="1:10">
      <c r="A2">
        <v>658832.62</v>
      </c>
      <c r="B2">
        <v>8302</v>
      </c>
    </row>
    <row r="3" spans="1:10" ht="15.6">
      <c r="A3">
        <v>634436</v>
      </c>
      <c r="B3">
        <v>8487</v>
      </c>
      <c r="E3" s="14" t="s">
        <v>136</v>
      </c>
      <c r="F3" s="14"/>
      <c r="G3" s="14"/>
      <c r="H3" s="14"/>
    </row>
    <row r="4" spans="1:10">
      <c r="A4">
        <v>678722.06</v>
      </c>
      <c r="B4">
        <v>9113</v>
      </c>
    </row>
    <row r="5" spans="1:10">
      <c r="A5">
        <v>658920.30000000005</v>
      </c>
      <c r="B5">
        <v>9431</v>
      </c>
      <c r="E5" t="s">
        <v>107</v>
      </c>
    </row>
    <row r="6" spans="1:10" ht="15" thickBot="1">
      <c r="A6">
        <v>741341.44</v>
      </c>
      <c r="B6">
        <v>9545</v>
      </c>
    </row>
    <row r="7" spans="1:10">
      <c r="A7">
        <v>761835.34</v>
      </c>
      <c r="B7">
        <v>9792</v>
      </c>
      <c r="E7" s="9" t="s">
        <v>108</v>
      </c>
      <c r="F7" s="9"/>
    </row>
    <row r="8" spans="1:10">
      <c r="A8">
        <v>806615.54</v>
      </c>
      <c r="B8">
        <v>10616</v>
      </c>
      <c r="E8" s="6" t="s">
        <v>109</v>
      </c>
      <c r="F8" s="6">
        <v>0.85807070804410468</v>
      </c>
    </row>
    <row r="9" spans="1:10">
      <c r="A9">
        <v>850164.26</v>
      </c>
      <c r="B9">
        <v>8567</v>
      </c>
      <c r="E9" s="6" t="s">
        <v>110</v>
      </c>
      <c r="F9" s="6">
        <v>0.73628534000331114</v>
      </c>
    </row>
    <row r="10" spans="1:10">
      <c r="A10">
        <v>930581.7</v>
      </c>
      <c r="B10">
        <v>10979</v>
      </c>
      <c r="E10" s="6" t="s">
        <v>111</v>
      </c>
      <c r="F10" s="6">
        <v>0.73545604861967373</v>
      </c>
    </row>
    <row r="11" spans="1:10">
      <c r="A11">
        <v>779010.94</v>
      </c>
      <c r="B11">
        <v>9459</v>
      </c>
      <c r="E11" s="6" t="s">
        <v>112</v>
      </c>
      <c r="F11" s="6">
        <v>53373.736380790499</v>
      </c>
    </row>
    <row r="12" spans="1:10" ht="15" thickBot="1">
      <c r="A12">
        <v>723060.76</v>
      </c>
      <c r="B12">
        <v>9172</v>
      </c>
      <c r="E12" s="7" t="s">
        <v>113</v>
      </c>
      <c r="F12" s="7">
        <v>320</v>
      </c>
    </row>
    <row r="13" spans="1:10">
      <c r="A13">
        <v>910791.94</v>
      </c>
      <c r="B13">
        <v>11230</v>
      </c>
    </row>
    <row r="14" spans="1:10" ht="15" thickBot="1">
      <c r="A14">
        <v>922168.6</v>
      </c>
      <c r="B14">
        <v>12775</v>
      </c>
      <c r="E14" t="s">
        <v>114</v>
      </c>
    </row>
    <row r="15" spans="1:10">
      <c r="A15">
        <v>726606.28</v>
      </c>
      <c r="B15">
        <v>10054</v>
      </c>
      <c r="E15" s="8"/>
      <c r="F15" s="8" t="s">
        <v>119</v>
      </c>
      <c r="G15" s="8" t="s">
        <v>120</v>
      </c>
      <c r="H15" s="8" t="s">
        <v>121</v>
      </c>
      <c r="I15" s="8" t="s">
        <v>122</v>
      </c>
      <c r="J15" s="8" t="s">
        <v>123</v>
      </c>
    </row>
    <row r="16" spans="1:10">
      <c r="A16">
        <v>746501.09</v>
      </c>
      <c r="B16">
        <v>8895</v>
      </c>
      <c r="E16" s="6" t="s">
        <v>115</v>
      </c>
      <c r="F16" s="6">
        <v>1</v>
      </c>
      <c r="G16" s="6">
        <v>2529264292982.4736</v>
      </c>
      <c r="H16" s="6">
        <v>2529264292982.4736</v>
      </c>
      <c r="I16" s="6">
        <v>887.84877611276033</v>
      </c>
      <c r="J16" s="6">
        <v>4.7503615090053331E-94</v>
      </c>
    </row>
    <row r="17" spans="1:13">
      <c r="A17">
        <v>834017.02</v>
      </c>
      <c r="B17">
        <v>10940</v>
      </c>
      <c r="E17" s="6" t="s">
        <v>116</v>
      </c>
      <c r="F17" s="6">
        <v>318</v>
      </c>
      <c r="G17" s="6">
        <v>905904323808.26587</v>
      </c>
      <c r="H17" s="6">
        <v>2848755735.246119</v>
      </c>
      <c r="I17" s="6"/>
      <c r="J17" s="6"/>
    </row>
    <row r="18" spans="1:13" ht="15" thickBot="1">
      <c r="A18">
        <v>666152.52</v>
      </c>
      <c r="B18">
        <v>7057</v>
      </c>
      <c r="E18" s="7" t="s">
        <v>117</v>
      </c>
      <c r="F18" s="7">
        <v>319</v>
      </c>
      <c r="G18" s="7">
        <v>3435168616790.7393</v>
      </c>
      <c r="H18" s="7"/>
      <c r="I18" s="7"/>
      <c r="J18" s="7"/>
    </row>
    <row r="19" spans="1:13" ht="15" thickBot="1">
      <c r="A19">
        <v>573155.18999999994</v>
      </c>
      <c r="B19">
        <v>4263</v>
      </c>
    </row>
    <row r="20" spans="1:13">
      <c r="A20">
        <v>666573.19999999995</v>
      </c>
      <c r="B20">
        <v>5538</v>
      </c>
      <c r="E20" s="8"/>
      <c r="F20" s="8" t="s">
        <v>124</v>
      </c>
      <c r="G20" s="8" t="s">
        <v>112</v>
      </c>
      <c r="H20" s="8" t="s">
        <v>125</v>
      </c>
      <c r="I20" s="8" t="s">
        <v>126</v>
      </c>
      <c r="J20" s="8" t="s">
        <v>127</v>
      </c>
      <c r="K20" s="8" t="s">
        <v>128</v>
      </c>
      <c r="L20" s="8" t="s">
        <v>129</v>
      </c>
      <c r="M20" s="8" t="s">
        <v>130</v>
      </c>
    </row>
    <row r="21" spans="1:13">
      <c r="A21">
        <v>591619.94999999995</v>
      </c>
      <c r="B21">
        <v>4865</v>
      </c>
      <c r="E21" s="6" t="s">
        <v>118</v>
      </c>
      <c r="F21" s="6">
        <v>446410.58293395344</v>
      </c>
      <c r="G21" s="6">
        <v>8407.7382630059928</v>
      </c>
      <c r="H21" s="6">
        <v>53.095204556754318</v>
      </c>
      <c r="I21" s="6">
        <v>4.0862695711507226E-160</v>
      </c>
      <c r="J21" s="6">
        <v>429868.76191129786</v>
      </c>
      <c r="K21" s="6">
        <v>462952.40395660902</v>
      </c>
      <c r="L21" s="6">
        <v>429868.76191129786</v>
      </c>
      <c r="M21" s="6">
        <v>462952.40395660902</v>
      </c>
    </row>
    <row r="22" spans="1:13" ht="15" thickBot="1">
      <c r="A22">
        <v>415721.82</v>
      </c>
      <c r="B22">
        <v>2822</v>
      </c>
      <c r="E22" s="7" t="s">
        <v>5</v>
      </c>
      <c r="F22" s="7">
        <v>35.678031072640458</v>
      </c>
      <c r="G22" s="7">
        <v>1.1973782890340821</v>
      </c>
      <c r="H22" s="7">
        <v>29.796791372776362</v>
      </c>
      <c r="I22" s="7">
        <v>4.7503615090054677E-94</v>
      </c>
      <c r="J22" s="7">
        <v>33.322246825554025</v>
      </c>
      <c r="K22" s="7">
        <v>38.033815319726891</v>
      </c>
      <c r="L22" s="7">
        <v>33.322246825554025</v>
      </c>
      <c r="M22" s="7">
        <v>38.033815319726891</v>
      </c>
    </row>
    <row r="23" spans="1:13">
      <c r="A23">
        <v>491905.13</v>
      </c>
      <c r="B23">
        <v>2121</v>
      </c>
    </row>
    <row r="24" spans="1:13">
      <c r="A24">
        <v>555929.4</v>
      </c>
      <c r="B24">
        <v>3364</v>
      </c>
    </row>
    <row r="25" spans="1:13">
      <c r="A25">
        <v>565810.99</v>
      </c>
      <c r="B25">
        <v>2613</v>
      </c>
    </row>
    <row r="26" spans="1:13">
      <c r="A26">
        <v>811771.14</v>
      </c>
      <c r="B26">
        <v>10218</v>
      </c>
      <c r="E26" t="s">
        <v>131</v>
      </c>
    </row>
    <row r="27" spans="1:13" ht="15" thickBot="1">
      <c r="A27">
        <v>800451.94</v>
      </c>
      <c r="B27">
        <v>8927</v>
      </c>
    </row>
    <row r="28" spans="1:13">
      <c r="A28">
        <v>783672.82</v>
      </c>
      <c r="B28">
        <v>9315</v>
      </c>
      <c r="E28" s="8" t="s">
        <v>132</v>
      </c>
      <c r="F28" s="8" t="s">
        <v>133</v>
      </c>
      <c r="G28" s="8" t="s">
        <v>134</v>
      </c>
    </row>
    <row r="29" spans="1:13">
      <c r="A29">
        <v>701641.97</v>
      </c>
      <c r="B29">
        <v>7223</v>
      </c>
      <c r="E29" s="6">
        <v>1</v>
      </c>
      <c r="F29" s="6">
        <v>742609.59689901455</v>
      </c>
      <c r="G29" s="6">
        <v>-83776.976899014553</v>
      </c>
    </row>
    <row r="30" spans="1:13">
      <c r="A30">
        <v>511844.41</v>
      </c>
      <c r="B30">
        <v>3988</v>
      </c>
      <c r="E30" s="6">
        <v>2</v>
      </c>
      <c r="F30" s="6">
        <v>749210.03264745302</v>
      </c>
      <c r="G30" s="6">
        <v>-114774.03264745302</v>
      </c>
    </row>
    <row r="31" spans="1:13">
      <c r="A31">
        <v>537383.79</v>
      </c>
      <c r="B31">
        <v>2390</v>
      </c>
      <c r="E31" s="6">
        <v>3</v>
      </c>
      <c r="F31" s="6">
        <v>771544.480098926</v>
      </c>
      <c r="G31" s="6">
        <v>-92822.420098925941</v>
      </c>
    </row>
    <row r="32" spans="1:13">
      <c r="A32">
        <v>500173.02</v>
      </c>
      <c r="B32">
        <v>2471</v>
      </c>
      <c r="E32" s="6">
        <v>4</v>
      </c>
      <c r="F32" s="6">
        <v>782890.09398002562</v>
      </c>
      <c r="G32" s="6">
        <v>-123969.79398002557</v>
      </c>
    </row>
    <row r="33" spans="1:7">
      <c r="A33">
        <v>427917.38</v>
      </c>
      <c r="B33">
        <v>971</v>
      </c>
      <c r="E33" s="6">
        <v>5</v>
      </c>
      <c r="F33" s="6">
        <v>786957.38952230662</v>
      </c>
      <c r="G33" s="6">
        <v>-45615.949522306677</v>
      </c>
    </row>
    <row r="34" spans="1:7">
      <c r="A34">
        <v>641865.03</v>
      </c>
      <c r="B34">
        <v>9429</v>
      </c>
      <c r="E34" s="6">
        <v>6</v>
      </c>
      <c r="F34" s="6">
        <v>795769.86319724878</v>
      </c>
      <c r="G34" s="6">
        <v>-33934.523197248811</v>
      </c>
    </row>
    <row r="35" spans="1:7">
      <c r="A35">
        <v>799477.76000000001</v>
      </c>
      <c r="B35">
        <v>11695</v>
      </c>
      <c r="E35" s="6">
        <v>7</v>
      </c>
      <c r="F35" s="6">
        <v>825168.56080110453</v>
      </c>
      <c r="G35" s="6">
        <v>-18553.020801104489</v>
      </c>
    </row>
    <row r="36" spans="1:7">
      <c r="A36">
        <v>798952.17</v>
      </c>
      <c r="B36">
        <v>9449</v>
      </c>
      <c r="E36" s="6">
        <v>8</v>
      </c>
      <c r="F36" s="6">
        <v>752064.27513326425</v>
      </c>
      <c r="G36" s="6">
        <v>98099.984866735758</v>
      </c>
    </row>
    <row r="37" spans="1:7">
      <c r="A37">
        <v>800979.78</v>
      </c>
      <c r="B37">
        <v>10453</v>
      </c>
      <c r="E37" s="6">
        <v>9</v>
      </c>
      <c r="F37" s="6">
        <v>838119.68608047301</v>
      </c>
      <c r="G37" s="6">
        <v>92462.013919526944</v>
      </c>
    </row>
    <row r="38" spans="1:7">
      <c r="A38">
        <v>820593.93</v>
      </c>
      <c r="B38">
        <v>8838</v>
      </c>
      <c r="E38" s="6">
        <v>10</v>
      </c>
      <c r="F38" s="6">
        <v>783889.07885005954</v>
      </c>
      <c r="G38" s="6">
        <v>-4878.1388500595931</v>
      </c>
    </row>
    <row r="39" spans="1:7">
      <c r="A39">
        <v>718330.53</v>
      </c>
      <c r="B39">
        <v>8156</v>
      </c>
      <c r="E39" s="6">
        <v>11</v>
      </c>
      <c r="F39" s="6">
        <v>773649.48393221176</v>
      </c>
      <c r="G39" s="6">
        <v>-50588.723932211753</v>
      </c>
    </row>
    <row r="40" spans="1:7">
      <c r="A40">
        <v>736633.4</v>
      </c>
      <c r="B40">
        <v>7562</v>
      </c>
      <c r="E40" s="6">
        <v>12</v>
      </c>
      <c r="F40" s="6">
        <v>847074.87187970581</v>
      </c>
      <c r="G40" s="6">
        <v>63717.068120294134</v>
      </c>
    </row>
    <row r="41" spans="1:7">
      <c r="A41">
        <v>828623.85</v>
      </c>
      <c r="B41">
        <v>9598</v>
      </c>
      <c r="E41" s="6">
        <v>13</v>
      </c>
      <c r="F41" s="6">
        <v>902197.42988693528</v>
      </c>
      <c r="G41" s="6">
        <v>19971.170113064698</v>
      </c>
    </row>
    <row r="42" spans="1:7">
      <c r="A42">
        <v>592195.85</v>
      </c>
      <c r="B42">
        <v>3660</v>
      </c>
      <c r="E42" s="6">
        <v>14</v>
      </c>
      <c r="F42" s="6">
        <v>805117.50733828056</v>
      </c>
      <c r="G42" s="6">
        <v>-78511.227338280529</v>
      </c>
    </row>
    <row r="43" spans="1:7">
      <c r="A43">
        <v>532644.46</v>
      </c>
      <c r="B43">
        <v>3227</v>
      </c>
      <c r="E43" s="6">
        <v>15</v>
      </c>
      <c r="F43" s="6">
        <v>763766.66932509025</v>
      </c>
      <c r="G43" s="6">
        <v>-17265.579325090279</v>
      </c>
    </row>
    <row r="44" spans="1:7">
      <c r="A44">
        <v>657429.18000000005</v>
      </c>
      <c r="B44">
        <v>3360</v>
      </c>
      <c r="E44" s="6">
        <v>16</v>
      </c>
      <c r="F44" s="6">
        <v>836728.24286863999</v>
      </c>
      <c r="G44" s="6">
        <v>-2711.2228686399758</v>
      </c>
    </row>
    <row r="45" spans="1:7">
      <c r="A45">
        <v>605178</v>
      </c>
      <c r="B45">
        <v>3642</v>
      </c>
      <c r="E45" s="6">
        <v>17</v>
      </c>
      <c r="F45" s="6">
        <v>698190.44821357715</v>
      </c>
      <c r="G45" s="6">
        <v>-32037.928213577135</v>
      </c>
    </row>
    <row r="46" spans="1:7">
      <c r="A46">
        <v>595467.6</v>
      </c>
      <c r="B46">
        <v>5145</v>
      </c>
      <c r="E46" s="6">
        <v>18</v>
      </c>
      <c r="F46" s="6">
        <v>598506.02939661965</v>
      </c>
      <c r="G46" s="6">
        <v>-25350.839396619704</v>
      </c>
    </row>
    <row r="47" spans="1:7">
      <c r="A47">
        <v>599603.4</v>
      </c>
      <c r="B47">
        <v>4460</v>
      </c>
      <c r="E47" s="6">
        <v>19</v>
      </c>
      <c r="F47" s="6">
        <v>643995.51901423628</v>
      </c>
      <c r="G47" s="6">
        <v>22577.680985763669</v>
      </c>
    </row>
    <row r="48" spans="1:7">
      <c r="A48">
        <v>614800.09</v>
      </c>
      <c r="B48">
        <v>3804</v>
      </c>
      <c r="E48" s="6">
        <v>20</v>
      </c>
      <c r="F48" s="6">
        <v>619984.20410234923</v>
      </c>
      <c r="G48" s="6">
        <v>-28364.254102349281</v>
      </c>
    </row>
    <row r="49" spans="1:7">
      <c r="A49">
        <v>585365.73</v>
      </c>
      <c r="B49">
        <v>4074</v>
      </c>
      <c r="E49" s="6">
        <v>21</v>
      </c>
      <c r="F49" s="6">
        <v>547093.98662094481</v>
      </c>
      <c r="G49" s="6">
        <v>-131372.1666209448</v>
      </c>
    </row>
    <row r="50" spans="1:7">
      <c r="A50">
        <v>622811.74</v>
      </c>
      <c r="B50">
        <v>5104</v>
      </c>
      <c r="E50" s="6">
        <v>22</v>
      </c>
      <c r="F50" s="6">
        <v>522083.68683902384</v>
      </c>
      <c r="G50" s="6">
        <v>-30178.556839023833</v>
      </c>
    </row>
    <row r="51" spans="1:7">
      <c r="A51">
        <v>603297.56999999995</v>
      </c>
      <c r="B51">
        <v>5559</v>
      </c>
      <c r="E51" s="6">
        <v>23</v>
      </c>
      <c r="F51" s="6">
        <v>566431.47946231591</v>
      </c>
      <c r="G51" s="6">
        <v>-10502.079462315887</v>
      </c>
    </row>
    <row r="52" spans="1:7">
      <c r="A52">
        <v>625672.86</v>
      </c>
      <c r="B52">
        <v>5150</v>
      </c>
      <c r="E52" s="6">
        <v>24</v>
      </c>
      <c r="F52" s="6">
        <v>539637.27812676295</v>
      </c>
      <c r="G52" s="6">
        <v>26173.711873237044</v>
      </c>
    </row>
    <row r="53" spans="1:7">
      <c r="A53">
        <v>773815.14</v>
      </c>
      <c r="B53">
        <v>7189</v>
      </c>
      <c r="E53" s="6">
        <v>25</v>
      </c>
      <c r="F53" s="6">
        <v>810968.70443419367</v>
      </c>
      <c r="G53" s="6">
        <v>802.43556580634322</v>
      </c>
    </row>
    <row r="54" spans="1:7">
      <c r="A54">
        <v>463534.25</v>
      </c>
      <c r="B54">
        <v>3279</v>
      </c>
      <c r="E54" s="6">
        <v>26</v>
      </c>
      <c r="F54" s="6">
        <v>764908.36631941481</v>
      </c>
      <c r="G54" s="6">
        <v>35543.573680585134</v>
      </c>
    </row>
    <row r="55" spans="1:7">
      <c r="A55">
        <v>746677.75</v>
      </c>
      <c r="B55">
        <v>5887</v>
      </c>
      <c r="E55" s="6">
        <v>27</v>
      </c>
      <c r="F55" s="6">
        <v>778751.44237559929</v>
      </c>
      <c r="G55" s="6">
        <v>4921.3776244006585</v>
      </c>
    </row>
    <row r="56" spans="1:7">
      <c r="A56">
        <v>720852.5</v>
      </c>
      <c r="B56">
        <v>5516</v>
      </c>
      <c r="E56" s="6">
        <v>28</v>
      </c>
      <c r="F56" s="6">
        <v>704113.00137163547</v>
      </c>
      <c r="G56" s="6">
        <v>-2471.0313716355013</v>
      </c>
    </row>
    <row r="57" spans="1:7">
      <c r="A57">
        <v>487464.91</v>
      </c>
      <c r="B57">
        <v>2863</v>
      </c>
      <c r="E57" s="6">
        <v>29</v>
      </c>
      <c r="F57" s="6">
        <v>588694.57085164357</v>
      </c>
      <c r="G57" s="6">
        <v>-76850.160851643595</v>
      </c>
    </row>
    <row r="58" spans="1:7">
      <c r="A58">
        <v>518049.26</v>
      </c>
      <c r="B58">
        <v>2378</v>
      </c>
      <c r="E58" s="6">
        <v>30</v>
      </c>
      <c r="F58" s="6">
        <v>531681.07719756418</v>
      </c>
      <c r="G58" s="6">
        <v>5702.7128024358535</v>
      </c>
    </row>
    <row r="59" spans="1:7">
      <c r="A59">
        <v>500298.48</v>
      </c>
      <c r="B59">
        <v>2515</v>
      </c>
      <c r="E59" s="6">
        <v>31</v>
      </c>
      <c r="F59" s="6">
        <v>534570.99771444802</v>
      </c>
      <c r="G59" s="6">
        <v>-34397.977714448003</v>
      </c>
    </row>
    <row r="60" spans="1:7">
      <c r="A60">
        <v>617291.15</v>
      </c>
      <c r="B60">
        <v>4022</v>
      </c>
      <c r="E60" s="6">
        <v>32</v>
      </c>
      <c r="F60" s="6">
        <v>481053.9511054873</v>
      </c>
      <c r="G60" s="6">
        <v>-53136.571105487295</v>
      </c>
    </row>
    <row r="61" spans="1:7">
      <c r="A61">
        <v>553756.43000000005</v>
      </c>
      <c r="B61">
        <v>4377</v>
      </c>
      <c r="E61" s="6">
        <v>33</v>
      </c>
      <c r="F61" s="6">
        <v>782818.73791788029</v>
      </c>
      <c r="G61" s="6">
        <v>-140953.70791788027</v>
      </c>
    </row>
    <row r="62" spans="1:7">
      <c r="A62">
        <v>749559.71</v>
      </c>
      <c r="B62">
        <v>5306</v>
      </c>
      <c r="E62" s="6">
        <v>34</v>
      </c>
      <c r="F62" s="6">
        <v>863665.1563284836</v>
      </c>
      <c r="G62" s="6">
        <v>-64187.396328483592</v>
      </c>
    </row>
    <row r="63" spans="1:7">
      <c r="A63">
        <v>615966.48</v>
      </c>
      <c r="B63">
        <v>3928</v>
      </c>
      <c r="E63" s="6">
        <v>35</v>
      </c>
      <c r="F63" s="6">
        <v>783532.29853933305</v>
      </c>
      <c r="G63" s="6">
        <v>15419.871460666996</v>
      </c>
    </row>
    <row r="64" spans="1:7">
      <c r="A64">
        <v>572011.19999999995</v>
      </c>
      <c r="B64">
        <v>3845</v>
      </c>
      <c r="E64" s="6">
        <v>36</v>
      </c>
      <c r="F64" s="6">
        <v>819353.04173626413</v>
      </c>
      <c r="G64" s="6">
        <v>-18373.261736264103</v>
      </c>
    </row>
    <row r="65" spans="1:7">
      <c r="A65">
        <v>761860.19</v>
      </c>
      <c r="B65">
        <v>6620</v>
      </c>
      <c r="E65" s="6">
        <v>37</v>
      </c>
      <c r="F65" s="6">
        <v>761733.0215539498</v>
      </c>
      <c r="G65" s="6">
        <v>58860.908446050249</v>
      </c>
    </row>
    <row r="66" spans="1:7">
      <c r="A66">
        <v>784502.68</v>
      </c>
      <c r="B66">
        <v>9175</v>
      </c>
      <c r="E66" s="6">
        <v>38</v>
      </c>
      <c r="F66" s="6">
        <v>737400.6043624091</v>
      </c>
      <c r="G66" s="6">
        <v>-19070.074362409068</v>
      </c>
    </row>
    <row r="67" spans="1:7">
      <c r="A67">
        <v>717141.55</v>
      </c>
      <c r="B67">
        <v>7940</v>
      </c>
      <c r="E67" s="6">
        <v>39</v>
      </c>
      <c r="F67" s="6">
        <v>716207.85390526056</v>
      </c>
      <c r="G67" s="6">
        <v>20425.54609473946</v>
      </c>
    </row>
    <row r="68" spans="1:7">
      <c r="A68">
        <v>685379.08</v>
      </c>
      <c r="B68">
        <v>9628</v>
      </c>
      <c r="E68" s="6">
        <v>40</v>
      </c>
      <c r="F68" s="6">
        <v>788848.32516915654</v>
      </c>
      <c r="G68" s="6">
        <v>39775.524830843438</v>
      </c>
    </row>
    <row r="69" spans="1:7">
      <c r="A69">
        <v>740496.65</v>
      </c>
      <c r="B69">
        <v>8296</v>
      </c>
      <c r="E69" s="6">
        <v>41</v>
      </c>
      <c r="F69" s="6">
        <v>576992.17665981757</v>
      </c>
      <c r="G69" s="6">
        <v>15203.673340182402</v>
      </c>
    </row>
    <row r="70" spans="1:7">
      <c r="A70">
        <v>661927.14</v>
      </c>
      <c r="B70">
        <v>3595</v>
      </c>
      <c r="E70" s="6">
        <v>42</v>
      </c>
      <c r="F70" s="6">
        <v>561543.58920536423</v>
      </c>
      <c r="G70" s="6">
        <v>-28899.129205364268</v>
      </c>
    </row>
    <row r="71" spans="1:7">
      <c r="A71">
        <v>479050.5</v>
      </c>
      <c r="B71">
        <v>2834</v>
      </c>
      <c r="E71" s="6">
        <v>43</v>
      </c>
      <c r="F71" s="6">
        <v>566288.76733802538</v>
      </c>
      <c r="G71" s="6">
        <v>91140.412661974668</v>
      </c>
    </row>
    <row r="72" spans="1:7">
      <c r="A72">
        <v>605023.87</v>
      </c>
      <c r="B72">
        <v>3193</v>
      </c>
      <c r="E72" s="6">
        <v>44</v>
      </c>
      <c r="F72" s="6">
        <v>576349.97210051003</v>
      </c>
      <c r="G72" s="6">
        <v>28828.027899489971</v>
      </c>
    </row>
    <row r="73" spans="1:7">
      <c r="A73">
        <v>674774.09</v>
      </c>
      <c r="B73">
        <v>5485</v>
      </c>
      <c r="E73" s="6">
        <v>45</v>
      </c>
      <c r="F73" s="6">
        <v>629974.05280268856</v>
      </c>
      <c r="G73" s="6">
        <v>-34506.452802688582</v>
      </c>
    </row>
    <row r="74" spans="1:7">
      <c r="A74">
        <v>616069.41</v>
      </c>
      <c r="B74">
        <v>5918</v>
      </c>
      <c r="E74" s="6">
        <v>46</v>
      </c>
      <c r="F74" s="6">
        <v>605534.60151792993</v>
      </c>
      <c r="G74" s="6">
        <v>-5931.2015179299051</v>
      </c>
    </row>
    <row r="75" spans="1:7">
      <c r="A75">
        <v>630829.93999999994</v>
      </c>
      <c r="B75">
        <v>6821</v>
      </c>
      <c r="E75" s="6">
        <v>47</v>
      </c>
      <c r="F75" s="6">
        <v>582129.81313427771</v>
      </c>
      <c r="G75" s="6">
        <v>32670.276865722262</v>
      </c>
    </row>
    <row r="76" spans="1:7">
      <c r="A76">
        <v>788087.68</v>
      </c>
      <c r="B76">
        <v>6806</v>
      </c>
      <c r="E76" s="6">
        <v>48</v>
      </c>
      <c r="F76" s="6">
        <v>591762.88152389065</v>
      </c>
      <c r="G76" s="6">
        <v>-6397.1515238906723</v>
      </c>
    </row>
    <row r="77" spans="1:7">
      <c r="A77">
        <v>680840.36</v>
      </c>
      <c r="B77">
        <v>8252</v>
      </c>
      <c r="E77" s="6">
        <v>49</v>
      </c>
      <c r="F77" s="6">
        <v>628511.25352871034</v>
      </c>
      <c r="G77" s="6">
        <v>-5699.5135287103476</v>
      </c>
    </row>
    <row r="78" spans="1:7">
      <c r="A78">
        <v>643657.47</v>
      </c>
      <c r="B78">
        <v>6662</v>
      </c>
      <c r="E78" s="6">
        <v>50</v>
      </c>
      <c r="F78" s="6">
        <v>644744.75766676175</v>
      </c>
      <c r="G78" s="6">
        <v>-41447.187666761805</v>
      </c>
    </row>
    <row r="79" spans="1:7">
      <c r="A79">
        <v>691112.6</v>
      </c>
      <c r="B79">
        <v>5962</v>
      </c>
      <c r="E79" s="6">
        <v>51</v>
      </c>
      <c r="F79" s="6">
        <v>630152.4429580518</v>
      </c>
      <c r="G79" s="6">
        <v>-4479.5829580518184</v>
      </c>
    </row>
    <row r="80" spans="1:7">
      <c r="A80">
        <v>776922.17</v>
      </c>
      <c r="B80">
        <v>7470</v>
      </c>
      <c r="E80" s="6">
        <v>52</v>
      </c>
      <c r="F80" s="6">
        <v>702899.9483151657</v>
      </c>
      <c r="G80" s="6">
        <v>70915.19168483431</v>
      </c>
    </row>
    <row r="81" spans="1:7">
      <c r="A81">
        <v>636561.34</v>
      </c>
      <c r="B81">
        <v>5974</v>
      </c>
      <c r="E81" s="6">
        <v>53</v>
      </c>
      <c r="F81" s="6">
        <v>563398.84682114155</v>
      </c>
      <c r="G81" s="6">
        <v>-99864.596821141546</v>
      </c>
    </row>
    <row r="82" spans="1:7">
      <c r="A82">
        <v>621369.57999999996</v>
      </c>
      <c r="B82">
        <v>5410</v>
      </c>
      <c r="E82" s="6">
        <v>54</v>
      </c>
      <c r="F82" s="6">
        <v>656447.15185858775</v>
      </c>
      <c r="G82" s="6">
        <v>90230.598141412251</v>
      </c>
    </row>
    <row r="83" spans="1:7">
      <c r="A83">
        <v>682208.01</v>
      </c>
      <c r="B83">
        <v>4451</v>
      </c>
      <c r="E83" s="6">
        <v>55</v>
      </c>
      <c r="F83" s="6">
        <v>643210.60233063821</v>
      </c>
      <c r="G83" s="6">
        <v>77641.897669361788</v>
      </c>
    </row>
    <row r="84" spans="1:7">
      <c r="A84">
        <v>727241.86</v>
      </c>
      <c r="B84">
        <v>4644</v>
      </c>
      <c r="E84" s="6">
        <v>56</v>
      </c>
      <c r="F84" s="6">
        <v>548556.78589492303</v>
      </c>
      <c r="G84" s="6">
        <v>-61091.875894923054</v>
      </c>
    </row>
    <row r="85" spans="1:7">
      <c r="A85">
        <v>569100.78</v>
      </c>
      <c r="B85">
        <v>3559</v>
      </c>
      <c r="E85" s="6">
        <v>57</v>
      </c>
      <c r="F85" s="6">
        <v>531252.94082469249</v>
      </c>
      <c r="G85" s="6">
        <v>-13203.680824692477</v>
      </c>
    </row>
    <row r="86" spans="1:7">
      <c r="A86">
        <v>574436.29</v>
      </c>
      <c r="B86">
        <v>3091</v>
      </c>
      <c r="E86" s="6">
        <v>58</v>
      </c>
      <c r="F86" s="6">
        <v>536140.83108164417</v>
      </c>
      <c r="G86" s="6">
        <v>-35842.351081644185</v>
      </c>
    </row>
    <row r="87" spans="1:7">
      <c r="A87">
        <v>611766.72</v>
      </c>
      <c r="B87">
        <v>4004</v>
      </c>
      <c r="E87" s="6">
        <v>59</v>
      </c>
      <c r="F87" s="6">
        <v>589907.62390811334</v>
      </c>
      <c r="G87" s="6">
        <v>27383.526091886684</v>
      </c>
    </row>
    <row r="88" spans="1:7">
      <c r="A88">
        <v>614596.31999999995</v>
      </c>
      <c r="B88">
        <v>3788</v>
      </c>
      <c r="E88" s="6">
        <v>60</v>
      </c>
      <c r="F88" s="6">
        <v>602573.32493890077</v>
      </c>
      <c r="G88" s="6">
        <v>-48816.894938900718</v>
      </c>
    </row>
    <row r="89" spans="1:7">
      <c r="A89">
        <v>450711.92</v>
      </c>
      <c r="B89">
        <v>1260</v>
      </c>
      <c r="E89" s="6">
        <v>61</v>
      </c>
      <c r="F89" s="6">
        <v>635718.21580538375</v>
      </c>
      <c r="G89" s="6">
        <v>113841.49419461621</v>
      </c>
    </row>
    <row r="90" spans="1:7">
      <c r="A90">
        <v>711213.46</v>
      </c>
      <c r="B90">
        <v>7024</v>
      </c>
      <c r="E90" s="6">
        <v>62</v>
      </c>
      <c r="F90" s="6">
        <v>586553.8889872852</v>
      </c>
      <c r="G90" s="6">
        <v>29412.59101271478</v>
      </c>
    </row>
    <row r="91" spans="1:7">
      <c r="A91">
        <v>627171.9</v>
      </c>
      <c r="B91">
        <v>5400</v>
      </c>
      <c r="E91" s="6">
        <v>63</v>
      </c>
      <c r="F91" s="6">
        <v>583592.61240825604</v>
      </c>
      <c r="G91" s="6">
        <v>-11581.412408256088</v>
      </c>
    </row>
    <row r="92" spans="1:7">
      <c r="A92">
        <v>739852.58</v>
      </c>
      <c r="B92">
        <v>5988</v>
      </c>
      <c r="E92" s="6">
        <v>64</v>
      </c>
      <c r="F92" s="6">
        <v>682599.14863483328</v>
      </c>
      <c r="G92" s="6">
        <v>79261.04136516666</v>
      </c>
    </row>
    <row r="93" spans="1:7">
      <c r="A93">
        <v>586307.22</v>
      </c>
      <c r="B93">
        <v>3701</v>
      </c>
      <c r="E93" s="6">
        <v>65</v>
      </c>
      <c r="F93" s="6">
        <v>773756.51802542969</v>
      </c>
      <c r="G93" s="6">
        <v>10746.161974570365</v>
      </c>
    </row>
    <row r="94" spans="1:7">
      <c r="A94">
        <v>585937.48</v>
      </c>
      <c r="B94">
        <v>4509</v>
      </c>
      <c r="E94" s="6">
        <v>66</v>
      </c>
      <c r="F94" s="6">
        <v>729694.14965071867</v>
      </c>
      <c r="G94" s="6">
        <v>-12552.599650718621</v>
      </c>
    </row>
    <row r="95" spans="1:7">
      <c r="A95">
        <v>753473.55</v>
      </c>
      <c r="B95">
        <v>6477</v>
      </c>
      <c r="E95" s="6">
        <v>67</v>
      </c>
      <c r="F95" s="6">
        <v>789918.66610133578</v>
      </c>
      <c r="G95" s="6">
        <v>-104539.58610133582</v>
      </c>
    </row>
    <row r="96" spans="1:7">
      <c r="A96">
        <v>838250.32</v>
      </c>
      <c r="B96">
        <v>7970</v>
      </c>
      <c r="E96" s="6">
        <v>68</v>
      </c>
      <c r="F96" s="6">
        <v>742395.5287125787</v>
      </c>
      <c r="G96" s="6">
        <v>-1898.8787125786766</v>
      </c>
    </row>
    <row r="97" spans="1:7">
      <c r="A97">
        <v>607898.12</v>
      </c>
      <c r="B97">
        <v>6057</v>
      </c>
      <c r="E97" s="6">
        <v>69</v>
      </c>
      <c r="F97" s="6">
        <v>574673.10464009584</v>
      </c>
      <c r="G97" s="6">
        <v>87254.03535990417</v>
      </c>
    </row>
    <row r="98" spans="1:7">
      <c r="A98">
        <v>691113.62</v>
      </c>
      <c r="B98">
        <v>6394</v>
      </c>
      <c r="E98" s="6">
        <v>70</v>
      </c>
      <c r="F98" s="6">
        <v>547522.12299381651</v>
      </c>
      <c r="G98" s="6">
        <v>-68471.622993816505</v>
      </c>
    </row>
    <row r="99" spans="1:7">
      <c r="A99">
        <v>735509.4</v>
      </c>
      <c r="B99">
        <v>5150</v>
      </c>
      <c r="E99" s="6">
        <v>71</v>
      </c>
      <c r="F99" s="6">
        <v>560330.53614889446</v>
      </c>
      <c r="G99" s="6">
        <v>44693.333851105534</v>
      </c>
    </row>
    <row r="100" spans="1:7">
      <c r="A100">
        <v>605775.32999999996</v>
      </c>
      <c r="B100">
        <v>4712</v>
      </c>
      <c r="E100" s="6">
        <v>72</v>
      </c>
      <c r="F100" s="6">
        <v>642104.58336738637</v>
      </c>
      <c r="G100" s="6">
        <v>32669.5066326136</v>
      </c>
    </row>
    <row r="101" spans="1:7">
      <c r="A101">
        <v>675177.68</v>
      </c>
      <c r="B101">
        <v>5281</v>
      </c>
      <c r="E101" s="6">
        <v>73</v>
      </c>
      <c r="F101" s="6">
        <v>657553.17082183971</v>
      </c>
      <c r="G101" s="6">
        <v>-41483.760821839678</v>
      </c>
    </row>
    <row r="102" spans="1:7">
      <c r="A102">
        <v>635181.35</v>
      </c>
      <c r="B102">
        <v>3642</v>
      </c>
      <c r="E102" s="6">
        <v>74</v>
      </c>
      <c r="F102" s="6">
        <v>689770.43288043397</v>
      </c>
      <c r="G102" s="6">
        <v>-58940.492880434031</v>
      </c>
    </row>
    <row r="103" spans="1:7">
      <c r="A103">
        <v>586626.93999999994</v>
      </c>
      <c r="B103">
        <v>4373</v>
      </c>
      <c r="E103" s="6">
        <v>75</v>
      </c>
      <c r="F103" s="6">
        <v>689235.26241434435</v>
      </c>
      <c r="G103" s="6">
        <v>98852.417585655698</v>
      </c>
    </row>
    <row r="104" spans="1:7">
      <c r="A104">
        <v>740102.64</v>
      </c>
      <c r="B104">
        <v>6832</v>
      </c>
      <c r="E104" s="6">
        <v>76</v>
      </c>
      <c r="F104" s="6">
        <v>740825.69534538244</v>
      </c>
      <c r="G104" s="6">
        <v>-59985.335345382453</v>
      </c>
    </row>
    <row r="105" spans="1:7">
      <c r="A105">
        <v>625514.04</v>
      </c>
      <c r="B105">
        <v>2414</v>
      </c>
      <c r="E105" s="6">
        <v>77</v>
      </c>
      <c r="F105" s="6">
        <v>684097.62593988422</v>
      </c>
      <c r="G105" s="6">
        <v>-40440.155939884251</v>
      </c>
    </row>
    <row r="106" spans="1:7">
      <c r="A106">
        <v>727227.2</v>
      </c>
      <c r="B106">
        <v>7374</v>
      </c>
      <c r="E106" s="6">
        <v>78</v>
      </c>
      <c r="F106" s="6">
        <v>659123.00418903586</v>
      </c>
      <c r="G106" s="6">
        <v>31989.595810964121</v>
      </c>
    </row>
    <row r="107" spans="1:7">
      <c r="A107">
        <v>783797.89</v>
      </c>
      <c r="B107">
        <v>8739</v>
      </c>
      <c r="E107" s="6">
        <v>79</v>
      </c>
      <c r="F107" s="6">
        <v>712925.47504657763</v>
      </c>
      <c r="G107" s="6">
        <v>63996.694953422411</v>
      </c>
    </row>
    <row r="108" spans="1:7">
      <c r="A108">
        <v>795153.84</v>
      </c>
      <c r="B108">
        <v>6992</v>
      </c>
      <c r="E108" s="6">
        <v>80</v>
      </c>
      <c r="F108" s="6">
        <v>659551.14056190755</v>
      </c>
      <c r="G108" s="6">
        <v>-22989.800561907585</v>
      </c>
    </row>
    <row r="109" spans="1:7">
      <c r="A109">
        <v>665594.93999999994</v>
      </c>
      <c r="B109">
        <v>7107</v>
      </c>
      <c r="E109" s="6">
        <v>81</v>
      </c>
      <c r="F109" s="6">
        <v>639428.73103693826</v>
      </c>
      <c r="G109" s="6">
        <v>-18059.151036938303</v>
      </c>
    </row>
    <row r="110" spans="1:7">
      <c r="A110">
        <v>709478.39</v>
      </c>
      <c r="B110">
        <v>6975</v>
      </c>
      <c r="E110" s="6">
        <v>82</v>
      </c>
      <c r="F110" s="6">
        <v>605213.49923827616</v>
      </c>
      <c r="G110" s="6">
        <v>76994.510761723854</v>
      </c>
    </row>
    <row r="111" spans="1:7">
      <c r="A111">
        <v>664162.49</v>
      </c>
      <c r="B111">
        <v>5493</v>
      </c>
      <c r="E111" s="6">
        <v>83</v>
      </c>
      <c r="F111" s="6">
        <v>612099.35923529579</v>
      </c>
      <c r="G111" s="6">
        <v>115142.50076470419</v>
      </c>
    </row>
    <row r="112" spans="1:7">
      <c r="A112">
        <v>633494.21</v>
      </c>
      <c r="B112">
        <v>5686</v>
      </c>
      <c r="E112" s="6">
        <v>84</v>
      </c>
      <c r="F112" s="6">
        <v>573388.69552148087</v>
      </c>
      <c r="G112" s="6">
        <v>-4287.9155214808416</v>
      </c>
    </row>
    <row r="113" spans="1:7">
      <c r="A113">
        <v>713611.16</v>
      </c>
      <c r="B113">
        <v>4063</v>
      </c>
      <c r="E113" s="6">
        <v>85</v>
      </c>
      <c r="F113" s="6">
        <v>556691.37697948515</v>
      </c>
      <c r="G113" s="6">
        <v>17744.913020514883</v>
      </c>
    </row>
    <row r="114" spans="1:7">
      <c r="A114">
        <v>778397.97</v>
      </c>
      <c r="B114">
        <v>8966</v>
      </c>
      <c r="E114" s="6">
        <v>86</v>
      </c>
      <c r="F114" s="6">
        <v>589265.41934880579</v>
      </c>
      <c r="G114" s="6">
        <v>22501.300651194178</v>
      </c>
    </row>
    <row r="115" spans="1:7">
      <c r="A115">
        <v>873380.02</v>
      </c>
      <c r="B115">
        <v>9489</v>
      </c>
      <c r="E115" s="6">
        <v>87</v>
      </c>
      <c r="F115" s="6">
        <v>581558.96463711548</v>
      </c>
      <c r="G115" s="6">
        <v>33037.355362884467</v>
      </c>
    </row>
    <row r="116" spans="1:7">
      <c r="A116">
        <v>697287.9</v>
      </c>
      <c r="B116">
        <v>9225</v>
      </c>
      <c r="E116" s="6">
        <v>88</v>
      </c>
      <c r="F116" s="6">
        <v>491364.9020854804</v>
      </c>
      <c r="G116" s="6">
        <v>-40652.982085480413</v>
      </c>
    </row>
    <row r="117" spans="1:7">
      <c r="A117">
        <v>718074.79</v>
      </c>
      <c r="B117">
        <v>9249</v>
      </c>
      <c r="E117" s="6">
        <v>89</v>
      </c>
      <c r="F117" s="6">
        <v>697013.07318817999</v>
      </c>
      <c r="G117" s="6">
        <v>14200.386811819975</v>
      </c>
    </row>
    <row r="118" spans="1:7">
      <c r="A118">
        <v>714942.43</v>
      </c>
      <c r="B118">
        <v>7821</v>
      </c>
      <c r="E118" s="6">
        <v>90</v>
      </c>
      <c r="F118" s="6">
        <v>639071.95072621189</v>
      </c>
      <c r="G118" s="6">
        <v>-11900.050726211863</v>
      </c>
    </row>
    <row r="119" spans="1:7">
      <c r="A119">
        <v>820519.04</v>
      </c>
      <c r="B119">
        <v>8434</v>
      </c>
      <c r="E119" s="6">
        <v>91</v>
      </c>
      <c r="F119" s="6">
        <v>660050.63299692445</v>
      </c>
      <c r="G119" s="6">
        <v>79801.947003075504</v>
      </c>
    </row>
    <row r="120" spans="1:7">
      <c r="A120">
        <v>684217.32</v>
      </c>
      <c r="B120">
        <v>8512</v>
      </c>
      <c r="E120" s="6">
        <v>92</v>
      </c>
      <c r="F120" s="6">
        <v>578454.97593379579</v>
      </c>
      <c r="G120" s="6">
        <v>7852.2440662041772</v>
      </c>
    </row>
    <row r="121" spans="1:7">
      <c r="A121">
        <v>735480.19</v>
      </c>
      <c r="B121">
        <v>7816</v>
      </c>
      <c r="E121" s="6">
        <v>93</v>
      </c>
      <c r="F121" s="6">
        <v>607282.8250404892</v>
      </c>
      <c r="G121" s="6">
        <v>-21345.345040489221</v>
      </c>
    </row>
    <row r="122" spans="1:7">
      <c r="A122">
        <v>509484.81</v>
      </c>
      <c r="B122">
        <v>3853</v>
      </c>
      <c r="E122" s="6">
        <v>94</v>
      </c>
      <c r="F122" s="6">
        <v>677497.19019144564</v>
      </c>
      <c r="G122" s="6">
        <v>75976.359808554407</v>
      </c>
    </row>
    <row r="123" spans="1:7">
      <c r="A123">
        <v>654317.09</v>
      </c>
      <c r="B123">
        <v>3694</v>
      </c>
      <c r="E123" s="6">
        <v>95</v>
      </c>
      <c r="F123" s="6">
        <v>730764.49058289791</v>
      </c>
      <c r="G123" s="6">
        <v>107485.82941710204</v>
      </c>
    </row>
    <row r="124" spans="1:7">
      <c r="A124">
        <v>557487.26</v>
      </c>
      <c r="B124">
        <v>4423</v>
      </c>
      <c r="E124" s="6">
        <v>96</v>
      </c>
      <c r="F124" s="6">
        <v>662512.41714093671</v>
      </c>
      <c r="G124" s="6">
        <v>-54614.297140936716</v>
      </c>
    </row>
    <row r="125" spans="1:7">
      <c r="A125">
        <v>441275.42</v>
      </c>
      <c r="B125">
        <v>1906</v>
      </c>
      <c r="E125" s="6">
        <v>97</v>
      </c>
      <c r="F125" s="6">
        <v>674535.91361241648</v>
      </c>
      <c r="G125" s="6">
        <v>16577.706387583516</v>
      </c>
    </row>
    <row r="126" spans="1:7">
      <c r="A126">
        <v>914544.17</v>
      </c>
      <c r="B126">
        <v>10396</v>
      </c>
      <c r="E126" s="6">
        <v>98</v>
      </c>
      <c r="F126" s="6">
        <v>630152.4429580518</v>
      </c>
      <c r="G126" s="6">
        <v>105356.95704194822</v>
      </c>
    </row>
    <row r="127" spans="1:7">
      <c r="A127">
        <v>842439.67</v>
      </c>
      <c r="B127">
        <v>11076</v>
      </c>
      <c r="E127" s="6">
        <v>99</v>
      </c>
      <c r="F127" s="6">
        <v>614525.46534823533</v>
      </c>
      <c r="G127" s="6">
        <v>-8750.1353482353734</v>
      </c>
    </row>
    <row r="128" spans="1:7">
      <c r="A128">
        <v>842157.92</v>
      </c>
      <c r="B128">
        <v>9574</v>
      </c>
      <c r="E128" s="6">
        <v>100</v>
      </c>
      <c r="F128" s="6">
        <v>634826.26502856775</v>
      </c>
      <c r="G128" s="6">
        <v>40351.414971432299</v>
      </c>
    </row>
    <row r="129" spans="1:7">
      <c r="A129">
        <v>697155.3</v>
      </c>
      <c r="B129">
        <v>8221</v>
      </c>
      <c r="E129" s="6">
        <v>101</v>
      </c>
      <c r="F129" s="6">
        <v>576349.97210051003</v>
      </c>
      <c r="G129" s="6">
        <v>58831.377899489948</v>
      </c>
    </row>
    <row r="130" spans="1:7">
      <c r="A130">
        <v>849018.3</v>
      </c>
      <c r="B130">
        <v>10618</v>
      </c>
      <c r="E130" s="6">
        <v>102</v>
      </c>
      <c r="F130" s="6">
        <v>602430.61281461013</v>
      </c>
      <c r="G130" s="6">
        <v>-15803.672814610181</v>
      </c>
    </row>
    <row r="131" spans="1:7">
      <c r="A131">
        <v>801830.35</v>
      </c>
      <c r="B131">
        <v>10596</v>
      </c>
      <c r="E131" s="6">
        <v>103</v>
      </c>
      <c r="F131" s="6">
        <v>690162.89122223307</v>
      </c>
      <c r="G131" s="6">
        <v>49939.748777766945</v>
      </c>
    </row>
    <row r="132" spans="1:7">
      <c r="A132">
        <v>725235.28</v>
      </c>
      <c r="B132">
        <v>9619</v>
      </c>
      <c r="E132" s="6">
        <v>104</v>
      </c>
      <c r="F132" s="6">
        <v>532537.34994330746</v>
      </c>
      <c r="G132" s="6">
        <v>92976.690056692576</v>
      </c>
    </row>
    <row r="133" spans="1:7">
      <c r="A133">
        <v>811452.72</v>
      </c>
      <c r="B133">
        <v>10836</v>
      </c>
      <c r="E133" s="6">
        <v>105</v>
      </c>
      <c r="F133" s="6">
        <v>709500.38406360417</v>
      </c>
      <c r="G133" s="6">
        <v>17726.815936395782</v>
      </c>
    </row>
    <row r="134" spans="1:7">
      <c r="A134">
        <v>527300.13</v>
      </c>
      <c r="B134">
        <v>3043</v>
      </c>
      <c r="E134" s="6">
        <v>106</v>
      </c>
      <c r="F134" s="6">
        <v>758200.89647775842</v>
      </c>
      <c r="G134" s="6">
        <v>25596.993522241595</v>
      </c>
    </row>
    <row r="135" spans="1:7">
      <c r="A135">
        <v>400831.65</v>
      </c>
      <c r="B135">
        <v>1814</v>
      </c>
      <c r="E135" s="6">
        <v>107</v>
      </c>
      <c r="F135" s="6">
        <v>695871.37619385554</v>
      </c>
      <c r="G135" s="6">
        <v>99282.463806144428</v>
      </c>
    </row>
    <row r="136" spans="1:7">
      <c r="A136">
        <v>593247.25</v>
      </c>
      <c r="B136">
        <v>3618</v>
      </c>
      <c r="E136" s="6">
        <v>108</v>
      </c>
      <c r="F136" s="6">
        <v>699974.34976720915</v>
      </c>
      <c r="G136" s="6">
        <v>-34379.409767209203</v>
      </c>
    </row>
    <row r="137" spans="1:7">
      <c r="A137">
        <v>529075.94999999995</v>
      </c>
      <c r="B137">
        <v>1963</v>
      </c>
      <c r="E137" s="6">
        <v>109</v>
      </c>
      <c r="F137" s="6">
        <v>695264.8496656206</v>
      </c>
      <c r="G137" s="6">
        <v>14213.540334379417</v>
      </c>
    </row>
    <row r="138" spans="1:7">
      <c r="A138">
        <v>633638.03</v>
      </c>
      <c r="B138">
        <v>7888</v>
      </c>
      <c r="E138" s="6">
        <v>110</v>
      </c>
      <c r="F138" s="6">
        <v>642390.00761596742</v>
      </c>
      <c r="G138" s="6">
        <v>21772.48238403257</v>
      </c>
    </row>
    <row r="139" spans="1:7">
      <c r="A139">
        <v>743348.84</v>
      </c>
      <c r="B139">
        <v>6244</v>
      </c>
      <c r="E139" s="6">
        <v>111</v>
      </c>
      <c r="F139" s="6">
        <v>649275.86761298706</v>
      </c>
      <c r="G139" s="6">
        <v>-15781.657612987095</v>
      </c>
    </row>
    <row r="140" spans="1:7">
      <c r="A140">
        <v>758827.64</v>
      </c>
      <c r="B140">
        <v>6544</v>
      </c>
      <c r="E140" s="6">
        <v>112</v>
      </c>
      <c r="F140" s="6">
        <v>591370.42318209168</v>
      </c>
      <c r="G140" s="6">
        <v>122240.73681790836</v>
      </c>
    </row>
    <row r="141" spans="1:7">
      <c r="A141">
        <v>646559.71</v>
      </c>
      <c r="B141">
        <v>5465</v>
      </c>
      <c r="E141" s="6">
        <v>113</v>
      </c>
      <c r="F141" s="6">
        <v>766299.80953124771</v>
      </c>
      <c r="G141" s="6">
        <v>12098.160468752263</v>
      </c>
    </row>
    <row r="142" spans="1:7">
      <c r="A142">
        <v>715890.53</v>
      </c>
      <c r="B142">
        <v>6427</v>
      </c>
      <c r="E142" s="6">
        <v>114</v>
      </c>
      <c r="F142" s="6">
        <v>784959.41978223878</v>
      </c>
      <c r="G142" s="6">
        <v>88420.600217761239</v>
      </c>
    </row>
    <row r="143" spans="1:7">
      <c r="A143">
        <v>715097.57</v>
      </c>
      <c r="B143">
        <v>6704</v>
      </c>
      <c r="E143" s="6">
        <v>115</v>
      </c>
      <c r="F143" s="6">
        <v>775540.41957906168</v>
      </c>
      <c r="G143" s="6">
        <v>-78252.519579061656</v>
      </c>
    </row>
    <row r="144" spans="1:7">
      <c r="A144">
        <v>682639.28</v>
      </c>
      <c r="B144">
        <v>5645</v>
      </c>
      <c r="E144" s="6">
        <v>116</v>
      </c>
      <c r="F144" s="6">
        <v>776396.69232480507</v>
      </c>
      <c r="G144" s="6">
        <v>-58321.902324805036</v>
      </c>
    </row>
    <row r="145" spans="1:7">
      <c r="A145">
        <v>695098.51</v>
      </c>
      <c r="B145">
        <v>6089</v>
      </c>
      <c r="E145" s="6">
        <v>117</v>
      </c>
      <c r="F145" s="6">
        <v>725448.46395307453</v>
      </c>
      <c r="G145" s="6">
        <v>-10506.033953074482</v>
      </c>
    </row>
    <row r="146" spans="1:7">
      <c r="A146">
        <v>577732.56999999995</v>
      </c>
      <c r="B146">
        <v>4312</v>
      </c>
      <c r="E146" s="6">
        <v>118</v>
      </c>
      <c r="F146" s="6">
        <v>747319.0970006031</v>
      </c>
      <c r="G146" s="6">
        <v>73199.942999396939</v>
      </c>
    </row>
    <row r="147" spans="1:7">
      <c r="A147">
        <v>537058.32999999996</v>
      </c>
      <c r="B147">
        <v>3152</v>
      </c>
      <c r="E147" s="6">
        <v>119</v>
      </c>
      <c r="F147" s="6">
        <v>750101.98342426901</v>
      </c>
      <c r="G147" s="6">
        <v>-65884.663424269063</v>
      </c>
    </row>
    <row r="148" spans="1:7">
      <c r="A148">
        <v>601568.87</v>
      </c>
      <c r="B148">
        <v>4259</v>
      </c>
      <c r="E148" s="6">
        <v>120</v>
      </c>
      <c r="F148" s="6">
        <v>725270.07379771117</v>
      </c>
      <c r="G148" s="6">
        <v>10210.116202288773</v>
      </c>
    </row>
    <row r="149" spans="1:7">
      <c r="A149">
        <v>570964.84</v>
      </c>
      <c r="B149">
        <v>3350</v>
      </c>
      <c r="E149" s="6">
        <v>121</v>
      </c>
      <c r="F149" s="6">
        <v>583878.0366568371</v>
      </c>
      <c r="G149" s="6">
        <v>-74393.226656837098</v>
      </c>
    </row>
    <row r="150" spans="1:7">
      <c r="A150">
        <v>614024.91</v>
      </c>
      <c r="B150">
        <v>5329</v>
      </c>
      <c r="E150" s="6">
        <v>122</v>
      </c>
      <c r="F150" s="6">
        <v>578205.22971628723</v>
      </c>
      <c r="G150" s="6">
        <v>76111.86028371274</v>
      </c>
    </row>
    <row r="151" spans="1:7">
      <c r="A151">
        <v>712868.35</v>
      </c>
      <c r="B151">
        <v>6551</v>
      </c>
      <c r="E151" s="6">
        <v>123</v>
      </c>
      <c r="F151" s="6">
        <v>604214.51436824212</v>
      </c>
      <c r="G151" s="6">
        <v>-46727.254368242109</v>
      </c>
    </row>
    <row r="152" spans="1:7">
      <c r="A152">
        <v>696744.15</v>
      </c>
      <c r="B152">
        <v>5550</v>
      </c>
      <c r="E152" s="6">
        <v>124</v>
      </c>
      <c r="F152" s="6">
        <v>514412.91015840613</v>
      </c>
      <c r="G152" s="6">
        <v>-73137.490158406144</v>
      </c>
    </row>
    <row r="153" spans="1:7">
      <c r="A153">
        <v>725847.99</v>
      </c>
      <c r="B153">
        <v>5911</v>
      </c>
      <c r="E153" s="6">
        <v>125</v>
      </c>
      <c r="F153" s="6">
        <v>817319.39396512369</v>
      </c>
      <c r="G153" s="6">
        <v>97224.776034876355</v>
      </c>
    </row>
    <row r="154" spans="1:7">
      <c r="A154">
        <v>785028.25</v>
      </c>
      <c r="B154">
        <v>9674</v>
      </c>
      <c r="E154" s="6">
        <v>126</v>
      </c>
      <c r="F154" s="6">
        <v>841580.45509451907</v>
      </c>
      <c r="G154" s="6">
        <v>859.21490548097063</v>
      </c>
    </row>
    <row r="155" spans="1:7">
      <c r="A155">
        <v>698492.67</v>
      </c>
      <c r="B155">
        <v>6740</v>
      </c>
      <c r="E155" s="6">
        <v>127</v>
      </c>
      <c r="F155" s="6">
        <v>787992.05242341314</v>
      </c>
      <c r="G155" s="6">
        <v>54165.867576586897</v>
      </c>
    </row>
    <row r="156" spans="1:7">
      <c r="A156">
        <v>685830.24</v>
      </c>
      <c r="B156">
        <v>7745</v>
      </c>
      <c r="E156" s="6">
        <v>128</v>
      </c>
      <c r="F156" s="6">
        <v>739719.67638213071</v>
      </c>
      <c r="G156" s="6">
        <v>-42564.376382130664</v>
      </c>
    </row>
    <row r="157" spans="1:7">
      <c r="A157">
        <v>702318.94</v>
      </c>
      <c r="B157">
        <v>7693</v>
      </c>
      <c r="E157" s="6">
        <v>129</v>
      </c>
      <c r="F157" s="6">
        <v>825239.91686324985</v>
      </c>
      <c r="G157" s="6">
        <v>23778.383136750199</v>
      </c>
    </row>
    <row r="158" spans="1:7">
      <c r="A158">
        <v>700078.32</v>
      </c>
      <c r="B158">
        <v>6424</v>
      </c>
      <c r="E158" s="6">
        <v>130</v>
      </c>
      <c r="F158" s="6">
        <v>824455.00017965166</v>
      </c>
      <c r="G158" s="6">
        <v>-22624.650179651682</v>
      </c>
    </row>
    <row r="159" spans="1:7">
      <c r="A159">
        <v>602002.31999999995</v>
      </c>
      <c r="B159">
        <v>5400</v>
      </c>
      <c r="E159" s="6">
        <v>131</v>
      </c>
      <c r="F159" s="6">
        <v>789597.56382168201</v>
      </c>
      <c r="G159" s="6">
        <v>-64362.28382168198</v>
      </c>
    </row>
    <row r="160" spans="1:7">
      <c r="A160">
        <v>724216.07</v>
      </c>
      <c r="B160">
        <v>7015</v>
      </c>
      <c r="E160" s="6">
        <v>132</v>
      </c>
      <c r="F160" s="6">
        <v>833017.72763708537</v>
      </c>
      <c r="G160" s="6">
        <v>-21565.007637085393</v>
      </c>
    </row>
    <row r="161" spans="1:7">
      <c r="A161">
        <v>620973.03</v>
      </c>
      <c r="B161">
        <v>3847</v>
      </c>
      <c r="E161" s="6">
        <v>133</v>
      </c>
      <c r="F161" s="6">
        <v>554978.83148799837</v>
      </c>
      <c r="G161" s="6">
        <v>-27678.701487998362</v>
      </c>
    </row>
    <row r="162" spans="1:7">
      <c r="A162">
        <v>650480.06000000006</v>
      </c>
      <c r="B162">
        <v>7455</v>
      </c>
      <c r="E162" s="6">
        <v>134</v>
      </c>
      <c r="F162" s="6">
        <v>511130.53129972325</v>
      </c>
      <c r="G162" s="6">
        <v>-110298.88129972323</v>
      </c>
    </row>
    <row r="163" spans="1:7">
      <c r="A163">
        <v>778298.88</v>
      </c>
      <c r="B163">
        <v>6992</v>
      </c>
      <c r="E163" s="6">
        <v>135</v>
      </c>
      <c r="F163" s="6">
        <v>575493.69935476664</v>
      </c>
      <c r="G163" s="6">
        <v>17753.550645233365</v>
      </c>
    </row>
    <row r="164" spans="1:7">
      <c r="A164">
        <v>677096.71</v>
      </c>
      <c r="B164">
        <v>8038</v>
      </c>
      <c r="E164" s="6">
        <v>136</v>
      </c>
      <c r="F164" s="6">
        <v>516446.55792954669</v>
      </c>
      <c r="G164" s="6">
        <v>12629.392070453265</v>
      </c>
    </row>
    <row r="165" spans="1:7">
      <c r="A165">
        <v>692008.64</v>
      </c>
      <c r="B165">
        <v>6055</v>
      </c>
      <c r="E165" s="6">
        <v>137</v>
      </c>
      <c r="F165" s="6">
        <v>727838.89203494135</v>
      </c>
      <c r="G165" s="6">
        <v>-94200.862034941325</v>
      </c>
    </row>
    <row r="166" spans="1:7">
      <c r="A166">
        <v>825797.91</v>
      </c>
      <c r="B166">
        <v>9323</v>
      </c>
      <c r="E166" s="6">
        <v>138</v>
      </c>
      <c r="F166" s="6">
        <v>669184.2089515205</v>
      </c>
      <c r="G166" s="6">
        <v>74164.631048479467</v>
      </c>
    </row>
    <row r="167" spans="1:7">
      <c r="A167">
        <v>706285.52</v>
      </c>
      <c r="B167">
        <v>8789</v>
      </c>
      <c r="E167" s="6">
        <v>139</v>
      </c>
      <c r="F167" s="6">
        <v>679887.61827331258</v>
      </c>
      <c r="G167" s="6">
        <v>78940.021726687439</v>
      </c>
    </row>
    <row r="168" spans="1:7">
      <c r="A168">
        <v>665534.69999999995</v>
      </c>
      <c r="B168">
        <v>6939</v>
      </c>
      <c r="E168" s="6">
        <v>140</v>
      </c>
      <c r="F168" s="6">
        <v>641391.0227459335</v>
      </c>
      <c r="G168" s="6">
        <v>5168.6872540664626</v>
      </c>
    </row>
    <row r="169" spans="1:7">
      <c r="A169">
        <v>820729.29</v>
      </c>
      <c r="B169">
        <v>9440</v>
      </c>
      <c r="E169" s="6">
        <v>141</v>
      </c>
      <c r="F169" s="6">
        <v>675713.28863781365</v>
      </c>
      <c r="G169" s="6">
        <v>40177.241362186382</v>
      </c>
    </row>
    <row r="170" spans="1:7">
      <c r="A170">
        <v>739831.73</v>
      </c>
      <c r="B170">
        <v>9374</v>
      </c>
      <c r="E170" s="6">
        <v>142</v>
      </c>
      <c r="F170" s="6">
        <v>685596.10324493505</v>
      </c>
      <c r="G170" s="6">
        <v>29501.466755064903</v>
      </c>
    </row>
    <row r="171" spans="1:7">
      <c r="A171">
        <v>593637.14</v>
      </c>
      <c r="B171">
        <v>7576</v>
      </c>
      <c r="E171" s="6">
        <v>143</v>
      </c>
      <c r="F171" s="6">
        <v>647813.06833900884</v>
      </c>
      <c r="G171" s="6">
        <v>34826.21166099119</v>
      </c>
    </row>
    <row r="172" spans="1:7">
      <c r="A172">
        <v>769702.76</v>
      </c>
      <c r="B172">
        <v>8949</v>
      </c>
      <c r="E172" s="6">
        <v>144</v>
      </c>
      <c r="F172" s="6">
        <v>663654.11413526116</v>
      </c>
      <c r="G172" s="6">
        <v>31444.39586473885</v>
      </c>
    </row>
    <row r="173" spans="1:7">
      <c r="A173">
        <v>679731.57</v>
      </c>
      <c r="B173">
        <v>7671</v>
      </c>
      <c r="E173" s="6">
        <v>145</v>
      </c>
      <c r="F173" s="6">
        <v>600254.25291917915</v>
      </c>
      <c r="G173" s="6">
        <v>-22521.682919179206</v>
      </c>
    </row>
    <row r="174" spans="1:7">
      <c r="A174">
        <v>780344.18</v>
      </c>
      <c r="B174">
        <v>8741</v>
      </c>
      <c r="E174" s="6">
        <v>146</v>
      </c>
      <c r="F174" s="6">
        <v>558867.73687491613</v>
      </c>
      <c r="G174" s="6">
        <v>-21809.406874916167</v>
      </c>
    </row>
    <row r="175" spans="1:7">
      <c r="A175">
        <v>721364.11</v>
      </c>
      <c r="B175">
        <v>9480</v>
      </c>
      <c r="E175" s="6">
        <v>147</v>
      </c>
      <c r="F175" s="6">
        <v>598363.31727232912</v>
      </c>
      <c r="G175" s="6">
        <v>3205.5527276708744</v>
      </c>
    </row>
    <row r="176" spans="1:7">
      <c r="A176">
        <v>758138.29</v>
      </c>
      <c r="B176">
        <v>9826</v>
      </c>
      <c r="E176" s="6">
        <v>148</v>
      </c>
      <c r="F176" s="6">
        <v>565931.98702729901</v>
      </c>
      <c r="G176" s="6">
        <v>5032.8529727009591</v>
      </c>
    </row>
    <row r="177" spans="1:7">
      <c r="A177">
        <v>804264</v>
      </c>
      <c r="B177">
        <v>10402</v>
      </c>
      <c r="E177" s="6">
        <v>149</v>
      </c>
      <c r="F177" s="6">
        <v>636538.81052005442</v>
      </c>
      <c r="G177" s="6">
        <v>-22513.900520054391</v>
      </c>
    </row>
    <row r="178" spans="1:7">
      <c r="A178">
        <v>887537.75</v>
      </c>
      <c r="B178">
        <v>12361</v>
      </c>
      <c r="E178" s="6">
        <v>150</v>
      </c>
      <c r="F178" s="6">
        <v>680137.36449082103</v>
      </c>
      <c r="G178" s="6">
        <v>32730.98550917895</v>
      </c>
    </row>
    <row r="179" spans="1:7">
      <c r="A179">
        <v>783582</v>
      </c>
      <c r="B179">
        <v>7925</v>
      </c>
      <c r="E179" s="6">
        <v>151</v>
      </c>
      <c r="F179" s="6">
        <v>644423.65538710798</v>
      </c>
      <c r="G179" s="6">
        <v>52320.494612892042</v>
      </c>
    </row>
    <row r="180" spans="1:7">
      <c r="A180">
        <v>781955.52</v>
      </c>
      <c r="B180">
        <v>8870</v>
      </c>
      <c r="E180" s="6">
        <v>152</v>
      </c>
      <c r="F180" s="6">
        <v>657303.42460433114</v>
      </c>
      <c r="G180" s="6">
        <v>68544.565395668847</v>
      </c>
    </row>
    <row r="181" spans="1:7">
      <c r="A181">
        <v>898031.04</v>
      </c>
      <c r="B181">
        <v>9999</v>
      </c>
      <c r="E181" s="6">
        <v>153</v>
      </c>
      <c r="F181" s="6">
        <v>791559.85553067725</v>
      </c>
      <c r="G181" s="6">
        <v>-6531.6055306772469</v>
      </c>
    </row>
    <row r="182" spans="1:7">
      <c r="A182">
        <v>855341.28</v>
      </c>
      <c r="B182">
        <v>11154</v>
      </c>
      <c r="E182" s="6">
        <v>154</v>
      </c>
      <c r="F182" s="6">
        <v>686880.51236355014</v>
      </c>
      <c r="G182" s="6">
        <v>11612.157636449905</v>
      </c>
    </row>
    <row r="183" spans="1:7">
      <c r="A183">
        <v>751393.88</v>
      </c>
      <c r="B183">
        <v>9287</v>
      </c>
      <c r="E183" s="6">
        <v>155</v>
      </c>
      <c r="F183" s="6">
        <v>722736.93359155371</v>
      </c>
      <c r="G183" s="6">
        <v>-36906.693591553718</v>
      </c>
    </row>
    <row r="184" spans="1:7">
      <c r="A184">
        <v>761077.08</v>
      </c>
      <c r="B184">
        <v>9812</v>
      </c>
      <c r="E184" s="6">
        <v>156</v>
      </c>
      <c r="F184" s="6">
        <v>720881.67597577651</v>
      </c>
      <c r="G184" s="6">
        <v>-18562.735975776566</v>
      </c>
    </row>
    <row r="185" spans="1:7">
      <c r="A185">
        <v>819660.59</v>
      </c>
      <c r="B185">
        <v>10741</v>
      </c>
      <c r="E185" s="6">
        <v>157</v>
      </c>
      <c r="F185" s="6">
        <v>675606.25454459572</v>
      </c>
      <c r="G185" s="6">
        <v>24472.065455404227</v>
      </c>
    </row>
    <row r="186" spans="1:7">
      <c r="A186">
        <v>681855.56</v>
      </c>
      <c r="B186">
        <v>6084</v>
      </c>
      <c r="E186" s="6">
        <v>158</v>
      </c>
      <c r="F186" s="6">
        <v>639071.95072621189</v>
      </c>
      <c r="G186" s="6">
        <v>-37069.630726211937</v>
      </c>
    </row>
    <row r="187" spans="1:7">
      <c r="A187">
        <v>678311.17</v>
      </c>
      <c r="B187">
        <v>5252</v>
      </c>
      <c r="E187" s="6">
        <v>159</v>
      </c>
      <c r="F187" s="6">
        <v>696691.97090852621</v>
      </c>
      <c r="G187" s="6">
        <v>27524.099091473734</v>
      </c>
    </row>
    <row r="188" spans="1:7">
      <c r="A188">
        <v>765906.95</v>
      </c>
      <c r="B188">
        <v>6516</v>
      </c>
      <c r="E188" s="6">
        <v>160</v>
      </c>
      <c r="F188" s="6">
        <v>583663.96847040125</v>
      </c>
      <c r="G188" s="6">
        <v>37309.061529598781</v>
      </c>
    </row>
    <row r="189" spans="1:7">
      <c r="A189">
        <v>712546.38</v>
      </c>
      <c r="B189">
        <v>7932</v>
      </c>
      <c r="E189" s="6">
        <v>161</v>
      </c>
      <c r="F189" s="6">
        <v>712390.30458048801</v>
      </c>
      <c r="G189" s="6">
        <v>-61910.244580487953</v>
      </c>
    </row>
    <row r="190" spans="1:7">
      <c r="A190">
        <v>625993.82999999996</v>
      </c>
      <c r="B190">
        <v>3506</v>
      </c>
      <c r="E190" s="6">
        <v>162</v>
      </c>
      <c r="F190" s="6">
        <v>695871.37619385554</v>
      </c>
      <c r="G190" s="6">
        <v>82427.503806144465</v>
      </c>
    </row>
    <row r="191" spans="1:7">
      <c r="A191">
        <v>550962.93000000005</v>
      </c>
      <c r="B191">
        <v>2312</v>
      </c>
      <c r="E191" s="6">
        <v>163</v>
      </c>
      <c r="F191" s="6">
        <v>733190.59669583745</v>
      </c>
      <c r="G191" s="6">
        <v>-56093.886695837486</v>
      </c>
    </row>
    <row r="192" spans="1:7">
      <c r="A192">
        <v>443275.59</v>
      </c>
      <c r="B192">
        <v>1268</v>
      </c>
      <c r="E192" s="6">
        <v>164</v>
      </c>
      <c r="F192" s="6">
        <v>662441.06107879139</v>
      </c>
      <c r="G192" s="6">
        <v>29567.578921208624</v>
      </c>
    </row>
    <row r="193" spans="1:7">
      <c r="A193">
        <v>554012.06999999995</v>
      </c>
      <c r="B193">
        <v>4423</v>
      </c>
      <c r="E193" s="6">
        <v>165</v>
      </c>
      <c r="F193" s="6">
        <v>779036.86662418046</v>
      </c>
      <c r="G193" s="6">
        <v>46761.043375819572</v>
      </c>
    </row>
    <row r="194" spans="1:7">
      <c r="A194">
        <v>643428.85</v>
      </c>
      <c r="B194">
        <v>6177</v>
      </c>
      <c r="E194" s="6">
        <v>166</v>
      </c>
      <c r="F194" s="6">
        <v>759984.79803139041</v>
      </c>
      <c r="G194" s="6">
        <v>-53699.278031390393</v>
      </c>
    </row>
    <row r="195" spans="1:7">
      <c r="A195">
        <v>611924.27</v>
      </c>
      <c r="B195">
        <v>5150</v>
      </c>
      <c r="E195" s="6">
        <v>167</v>
      </c>
      <c r="F195" s="6">
        <v>693980.44054700551</v>
      </c>
      <c r="G195" s="6">
        <v>-28445.740547005553</v>
      </c>
    </row>
    <row r="196" spans="1:7">
      <c r="A196">
        <v>559422.02</v>
      </c>
      <c r="B196">
        <v>3783</v>
      </c>
      <c r="E196" s="6">
        <v>168</v>
      </c>
      <c r="F196" s="6">
        <v>783211.19625967939</v>
      </c>
      <c r="G196" s="6">
        <v>37518.093740320648</v>
      </c>
    </row>
    <row r="197" spans="1:7">
      <c r="A197">
        <v>449465.06</v>
      </c>
      <c r="B197">
        <v>3135</v>
      </c>
      <c r="E197" s="6">
        <v>169</v>
      </c>
      <c r="F197" s="6">
        <v>780856.44620888517</v>
      </c>
      <c r="G197" s="6">
        <v>-41024.716208885191</v>
      </c>
    </row>
    <row r="198" spans="1:7">
      <c r="A198">
        <v>691447.43</v>
      </c>
      <c r="B198">
        <v>4970</v>
      </c>
      <c r="E198" s="6">
        <v>170</v>
      </c>
      <c r="F198" s="6">
        <v>716707.34634027747</v>
      </c>
      <c r="G198" s="6">
        <v>-123070.20634027745</v>
      </c>
    </row>
    <row r="199" spans="1:7">
      <c r="A199">
        <v>574066.61</v>
      </c>
      <c r="B199">
        <v>4366</v>
      </c>
      <c r="E199" s="6">
        <v>171</v>
      </c>
      <c r="F199" s="6">
        <v>765693.28300301288</v>
      </c>
      <c r="G199" s="6">
        <v>4009.4769969871268</v>
      </c>
    </row>
    <row r="200" spans="1:7">
      <c r="A200">
        <v>578949.84</v>
      </c>
      <c r="B200">
        <v>5012</v>
      </c>
      <c r="E200" s="6">
        <v>172</v>
      </c>
      <c r="F200" s="6">
        <v>720096.75929217832</v>
      </c>
      <c r="G200" s="6">
        <v>-40365.189292178373</v>
      </c>
    </row>
    <row r="201" spans="1:7">
      <c r="A201">
        <v>735786.64</v>
      </c>
      <c r="B201">
        <v>5575</v>
      </c>
      <c r="E201" s="6">
        <v>173</v>
      </c>
      <c r="F201" s="6">
        <v>758272.25253990362</v>
      </c>
      <c r="G201" s="6">
        <v>22071.927460096427</v>
      </c>
    </row>
    <row r="202" spans="1:7">
      <c r="A202">
        <v>598904.9</v>
      </c>
      <c r="B202">
        <v>5955</v>
      </c>
      <c r="E202" s="6">
        <v>174</v>
      </c>
      <c r="F202" s="6">
        <v>784638.31750258501</v>
      </c>
      <c r="G202" s="6">
        <v>-63274.207502585021</v>
      </c>
    </row>
    <row r="203" spans="1:7">
      <c r="A203">
        <v>787715.51</v>
      </c>
      <c r="B203">
        <v>6389</v>
      </c>
      <c r="E203" s="6">
        <v>175</v>
      </c>
      <c r="F203" s="6">
        <v>796982.91625371855</v>
      </c>
      <c r="G203" s="6">
        <v>-38844.62625371851</v>
      </c>
    </row>
    <row r="204" spans="1:7">
      <c r="A204">
        <v>607084.92000000004</v>
      </c>
      <c r="B204">
        <v>6896</v>
      </c>
      <c r="E204" s="6">
        <v>176</v>
      </c>
      <c r="F204" s="6">
        <v>817533.46215155954</v>
      </c>
      <c r="G204" s="6">
        <v>-13269.462151559535</v>
      </c>
    </row>
    <row r="205" spans="1:7">
      <c r="A205">
        <v>650795.49</v>
      </c>
      <c r="B205">
        <v>6015</v>
      </c>
      <c r="E205" s="6">
        <v>177</v>
      </c>
      <c r="F205" s="6">
        <v>887426.7250228622</v>
      </c>
      <c r="G205" s="6">
        <v>111.02497713780031</v>
      </c>
    </row>
    <row r="206" spans="1:7">
      <c r="A206">
        <v>825060.52</v>
      </c>
      <c r="B206">
        <v>9476</v>
      </c>
      <c r="E206" s="6">
        <v>178</v>
      </c>
      <c r="F206" s="6">
        <v>729158.97918462905</v>
      </c>
      <c r="G206" s="6">
        <v>54423.020815370954</v>
      </c>
    </row>
    <row r="207" spans="1:7">
      <c r="A207">
        <v>795464.47</v>
      </c>
      <c r="B207">
        <v>7875</v>
      </c>
      <c r="E207" s="6">
        <v>179</v>
      </c>
      <c r="F207" s="6">
        <v>762874.71854827437</v>
      </c>
      <c r="G207" s="6">
        <v>19080.801451725652</v>
      </c>
    </row>
    <row r="208" spans="1:7">
      <c r="A208">
        <v>671868.59</v>
      </c>
      <c r="B208">
        <v>9283</v>
      </c>
      <c r="E208" s="6">
        <v>180</v>
      </c>
      <c r="F208" s="6">
        <v>803155.21562928543</v>
      </c>
      <c r="G208" s="6">
        <v>94875.824370714603</v>
      </c>
    </row>
    <row r="209" spans="1:7">
      <c r="A209">
        <v>675917.63</v>
      </c>
      <c r="B209">
        <v>8303</v>
      </c>
      <c r="E209" s="6">
        <v>181</v>
      </c>
      <c r="F209" s="6">
        <v>844363.3415181851</v>
      </c>
      <c r="G209" s="6">
        <v>10977.938481814926</v>
      </c>
    </row>
    <row r="210" spans="1:7">
      <c r="A210">
        <v>810446.53</v>
      </c>
      <c r="B210">
        <v>10125</v>
      </c>
      <c r="E210" s="6">
        <v>182</v>
      </c>
      <c r="F210" s="6">
        <v>777752.45750556537</v>
      </c>
      <c r="G210" s="6">
        <v>-26358.577505565365</v>
      </c>
    </row>
    <row r="211" spans="1:7">
      <c r="A211">
        <v>691288.19</v>
      </c>
      <c r="B211">
        <v>9458</v>
      </c>
      <c r="E211" s="6">
        <v>183</v>
      </c>
      <c r="F211" s="6">
        <v>796483.42381870165</v>
      </c>
      <c r="G211" s="6">
        <v>-35406.343818701687</v>
      </c>
    </row>
    <row r="212" spans="1:7">
      <c r="A212">
        <v>946833.54</v>
      </c>
      <c r="B212">
        <v>12870</v>
      </c>
      <c r="E212" s="6">
        <v>184</v>
      </c>
      <c r="F212" s="6">
        <v>829628.31468518462</v>
      </c>
      <c r="G212" s="6">
        <v>-9967.7246851846576</v>
      </c>
    </row>
    <row r="213" spans="1:7">
      <c r="A213">
        <v>761963.23</v>
      </c>
      <c r="B213">
        <v>9752</v>
      </c>
      <c r="E213" s="6">
        <v>185</v>
      </c>
      <c r="F213" s="6">
        <v>663475.72397989803</v>
      </c>
      <c r="G213" s="6">
        <v>18379.836020102026</v>
      </c>
    </row>
    <row r="214" spans="1:7">
      <c r="A214">
        <v>812152.6</v>
      </c>
      <c r="B214">
        <v>9505</v>
      </c>
      <c r="E214" s="6">
        <v>186</v>
      </c>
      <c r="F214" s="6">
        <v>633791.60212746111</v>
      </c>
      <c r="G214" s="6">
        <v>44519.56787253893</v>
      </c>
    </row>
    <row r="215" spans="1:7">
      <c r="A215">
        <v>804975.5</v>
      </c>
      <c r="B215">
        <v>9412</v>
      </c>
      <c r="E215" s="6">
        <v>187</v>
      </c>
      <c r="F215" s="6">
        <v>678888.63340327865</v>
      </c>
      <c r="G215" s="6">
        <v>87018.316596721299</v>
      </c>
    </row>
    <row r="216" spans="1:7">
      <c r="A216">
        <v>752321.72</v>
      </c>
      <c r="B216">
        <v>9644</v>
      </c>
      <c r="E216" s="6">
        <v>188</v>
      </c>
      <c r="F216" s="6">
        <v>729408.7254021375</v>
      </c>
      <c r="G216" s="6">
        <v>-16862.345402137493</v>
      </c>
    </row>
    <row r="217" spans="1:7">
      <c r="A217">
        <v>836908.24</v>
      </c>
      <c r="B217">
        <v>11224</v>
      </c>
      <c r="E217" s="6">
        <v>189</v>
      </c>
      <c r="F217" s="6">
        <v>571497.75987463084</v>
      </c>
      <c r="G217" s="6">
        <v>54496.070125369122</v>
      </c>
    </row>
    <row r="218" spans="1:7">
      <c r="A218">
        <v>674289.1</v>
      </c>
      <c r="B218">
        <v>5394</v>
      </c>
      <c r="E218" s="6">
        <v>190</v>
      </c>
      <c r="F218" s="6">
        <v>528898.19077389815</v>
      </c>
      <c r="G218" s="6">
        <v>22064.739226101898</v>
      </c>
    </row>
    <row r="219" spans="1:7">
      <c r="A219">
        <v>622892.42000000004</v>
      </c>
      <c r="B219">
        <v>5014</v>
      </c>
      <c r="E219" s="6">
        <v>191</v>
      </c>
      <c r="F219" s="6">
        <v>491650.32633406157</v>
      </c>
      <c r="G219" s="6">
        <v>-48374.736334061541</v>
      </c>
    </row>
    <row r="220" spans="1:7">
      <c r="A220">
        <v>673348.56</v>
      </c>
      <c r="B220">
        <v>4467</v>
      </c>
      <c r="E220" s="6">
        <v>192</v>
      </c>
      <c r="F220" s="6">
        <v>604214.51436824212</v>
      </c>
      <c r="G220" s="6">
        <v>-50202.44436824217</v>
      </c>
    </row>
    <row r="221" spans="1:7">
      <c r="A221">
        <v>606278.30000000005</v>
      </c>
      <c r="B221">
        <v>4678</v>
      </c>
      <c r="E221" s="6">
        <v>193</v>
      </c>
      <c r="F221" s="6">
        <v>666793.78086965356</v>
      </c>
      <c r="G221" s="6">
        <v>-23364.930869653588</v>
      </c>
    </row>
    <row r="222" spans="1:7">
      <c r="A222">
        <v>712219.81</v>
      </c>
      <c r="B222">
        <v>7291</v>
      </c>
      <c r="E222" s="6">
        <v>194</v>
      </c>
      <c r="F222" s="6">
        <v>630152.4429580518</v>
      </c>
      <c r="G222" s="6">
        <v>-18228.172958051786</v>
      </c>
    </row>
    <row r="223" spans="1:7">
      <c r="A223">
        <v>672670.54</v>
      </c>
      <c r="B223">
        <v>7404</v>
      </c>
      <c r="E223" s="6">
        <v>195</v>
      </c>
      <c r="F223" s="6">
        <v>581380.57448175224</v>
      </c>
      <c r="G223" s="6">
        <v>-21958.554481752217</v>
      </c>
    </row>
    <row r="224" spans="1:7">
      <c r="A224">
        <v>732667.92</v>
      </c>
      <c r="B224">
        <v>7880</v>
      </c>
      <c r="E224" s="6">
        <v>196</v>
      </c>
      <c r="F224" s="6">
        <v>558261.2103466813</v>
      </c>
      <c r="G224" s="6">
        <v>-108796.1503466813</v>
      </c>
    </row>
    <row r="225" spans="1:7">
      <c r="A225">
        <v>723531.4</v>
      </c>
      <c r="B225">
        <v>8773</v>
      </c>
      <c r="E225" s="6">
        <v>197</v>
      </c>
      <c r="F225" s="6">
        <v>623730.39736497658</v>
      </c>
      <c r="G225" s="6">
        <v>67717.032635023468</v>
      </c>
    </row>
    <row r="226" spans="1:7">
      <c r="A226">
        <v>641564.6</v>
      </c>
      <c r="B226">
        <v>4713</v>
      </c>
      <c r="E226" s="6">
        <v>198</v>
      </c>
      <c r="F226" s="6">
        <v>602180.86659710167</v>
      </c>
      <c r="G226" s="6">
        <v>-28114.256597101688</v>
      </c>
    </row>
    <row r="227" spans="1:7">
      <c r="A227">
        <v>536545.49</v>
      </c>
      <c r="B227">
        <v>2842</v>
      </c>
      <c r="E227" s="6">
        <v>199</v>
      </c>
      <c r="F227" s="6">
        <v>625228.87467002741</v>
      </c>
      <c r="G227" s="6">
        <v>-46279.034670027439</v>
      </c>
    </row>
    <row r="228" spans="1:7">
      <c r="A228">
        <v>527681.56000000006</v>
      </c>
      <c r="B228">
        <v>3872</v>
      </c>
      <c r="E228" s="6">
        <v>200</v>
      </c>
      <c r="F228" s="6">
        <v>645315.60616392398</v>
      </c>
      <c r="G228" s="6">
        <v>90471.033836076036</v>
      </c>
    </row>
    <row r="229" spans="1:7">
      <c r="A229">
        <v>529598.93999999994</v>
      </c>
      <c r="B229">
        <v>1375</v>
      </c>
      <c r="E229" s="6">
        <v>201</v>
      </c>
      <c r="F229" s="6">
        <v>658873.2579715274</v>
      </c>
      <c r="G229" s="6">
        <v>-59968.357971527381</v>
      </c>
    </row>
    <row r="230" spans="1:7">
      <c r="A230">
        <v>570963.31000000006</v>
      </c>
      <c r="B230">
        <v>5957</v>
      </c>
      <c r="E230" s="6">
        <v>202</v>
      </c>
      <c r="F230" s="6">
        <v>674357.52345705335</v>
      </c>
      <c r="G230" s="6">
        <v>113357.98654294666</v>
      </c>
    </row>
    <row r="231" spans="1:7">
      <c r="A231">
        <v>870937.4</v>
      </c>
      <c r="B231">
        <v>8961</v>
      </c>
      <c r="E231" s="6">
        <v>203</v>
      </c>
      <c r="F231" s="6">
        <v>692446.28521088208</v>
      </c>
      <c r="G231" s="6">
        <v>-85361.365210882039</v>
      </c>
    </row>
    <row r="232" spans="1:7">
      <c r="A232">
        <v>596969.27</v>
      </c>
      <c r="B232">
        <v>6545</v>
      </c>
      <c r="E232" s="6">
        <v>204</v>
      </c>
      <c r="F232" s="6">
        <v>661013.93983588577</v>
      </c>
      <c r="G232" s="6">
        <v>-10218.449835885782</v>
      </c>
    </row>
    <row r="233" spans="1:7">
      <c r="A233">
        <v>647512.85</v>
      </c>
      <c r="B233">
        <v>5457</v>
      </c>
      <c r="E233" s="6">
        <v>205</v>
      </c>
      <c r="F233" s="6">
        <v>784495.60537829436</v>
      </c>
      <c r="G233" s="6">
        <v>40564.914621705655</v>
      </c>
    </row>
    <row r="234" spans="1:7">
      <c r="A234">
        <v>658072.14</v>
      </c>
      <c r="B234">
        <v>4264</v>
      </c>
      <c r="E234" s="6">
        <v>206</v>
      </c>
      <c r="F234" s="6">
        <v>727375.07763099705</v>
      </c>
      <c r="G234" s="6">
        <v>68089.392369002919</v>
      </c>
    </row>
    <row r="235" spans="1:7">
      <c r="A235">
        <v>723305.11</v>
      </c>
      <c r="B235">
        <v>5321</v>
      </c>
      <c r="E235" s="6">
        <v>207</v>
      </c>
      <c r="F235" s="6">
        <v>777609.74538127473</v>
      </c>
      <c r="G235" s="6">
        <v>-105741.15538127476</v>
      </c>
    </row>
    <row r="236" spans="1:7">
      <c r="A236">
        <v>640666.53</v>
      </c>
      <c r="B236">
        <v>5479</v>
      </c>
      <c r="E236" s="6">
        <v>208</v>
      </c>
      <c r="F236" s="6">
        <v>742645.27493008715</v>
      </c>
      <c r="G236" s="6">
        <v>-66727.644930087146</v>
      </c>
    </row>
    <row r="237" spans="1:7">
      <c r="A237">
        <v>670629.48</v>
      </c>
      <c r="B237">
        <v>6169</v>
      </c>
      <c r="E237" s="6">
        <v>209</v>
      </c>
      <c r="F237" s="6">
        <v>807650.64754443802</v>
      </c>
      <c r="G237" s="6">
        <v>2795.8824555620085</v>
      </c>
    </row>
    <row r="238" spans="1:7">
      <c r="A238">
        <v>721079.35</v>
      </c>
      <c r="B238">
        <v>9908</v>
      </c>
      <c r="E238" s="6">
        <v>210</v>
      </c>
      <c r="F238" s="6">
        <v>783853.40081898682</v>
      </c>
      <c r="G238" s="6">
        <v>-92565.210818986874</v>
      </c>
    </row>
    <row r="239" spans="1:7">
      <c r="A239">
        <v>810355.02</v>
      </c>
      <c r="B239">
        <v>9996</v>
      </c>
      <c r="E239" s="6">
        <v>211</v>
      </c>
      <c r="F239" s="6">
        <v>905586.84283883614</v>
      </c>
      <c r="G239" s="6">
        <v>41246.697161163902</v>
      </c>
    </row>
    <row r="240" spans="1:7">
      <c r="A240">
        <v>761919.25</v>
      </c>
      <c r="B240">
        <v>9702</v>
      </c>
      <c r="E240" s="6">
        <v>212</v>
      </c>
      <c r="F240" s="6">
        <v>794342.74195434316</v>
      </c>
      <c r="G240" s="6">
        <v>-32379.511954343179</v>
      </c>
    </row>
    <row r="241" spans="1:7">
      <c r="A241">
        <v>737070.18</v>
      </c>
      <c r="B241">
        <v>9314</v>
      </c>
      <c r="E241" s="6">
        <v>213</v>
      </c>
      <c r="F241" s="6">
        <v>785530.268279401</v>
      </c>
      <c r="G241" s="6">
        <v>26622.331720598973</v>
      </c>
    </row>
    <row r="242" spans="1:7">
      <c r="A242">
        <v>776992.93</v>
      </c>
      <c r="B242">
        <v>8055</v>
      </c>
      <c r="E242" s="6">
        <v>214</v>
      </c>
      <c r="F242" s="6">
        <v>782212.21138964547</v>
      </c>
      <c r="G242" s="6">
        <v>22763.288610354532</v>
      </c>
    </row>
    <row r="243" spans="1:7">
      <c r="A243">
        <v>676337.41</v>
      </c>
      <c r="B243">
        <v>5648</v>
      </c>
      <c r="E243" s="6">
        <v>215</v>
      </c>
      <c r="F243" s="6">
        <v>790489.514598498</v>
      </c>
      <c r="G243" s="6">
        <v>-38167.794598498032</v>
      </c>
    </row>
    <row r="244" spans="1:7">
      <c r="A244">
        <v>828219.67</v>
      </c>
      <c r="B244">
        <v>10076</v>
      </c>
      <c r="E244" s="6">
        <v>216</v>
      </c>
      <c r="F244" s="6">
        <v>846860.80369326996</v>
      </c>
      <c r="G244" s="6">
        <v>-9952.5636932699708</v>
      </c>
    </row>
    <row r="245" spans="1:7">
      <c r="A245">
        <v>763159.92</v>
      </c>
      <c r="B245">
        <v>8004</v>
      </c>
      <c r="E245" s="6">
        <v>217</v>
      </c>
      <c r="F245" s="6">
        <v>638857.88253977604</v>
      </c>
      <c r="G245" s="6">
        <v>35431.217460223939</v>
      </c>
    </row>
    <row r="246" spans="1:7">
      <c r="A246">
        <v>802001.68</v>
      </c>
      <c r="B246">
        <v>8934</v>
      </c>
      <c r="E246" s="6">
        <v>218</v>
      </c>
      <c r="F246" s="6">
        <v>625300.23073217273</v>
      </c>
      <c r="G246" s="6">
        <v>-2407.8107321726857</v>
      </c>
    </row>
    <row r="247" spans="1:7">
      <c r="A247">
        <v>750471.34</v>
      </c>
      <c r="B247">
        <v>8733</v>
      </c>
      <c r="E247" s="6">
        <v>219</v>
      </c>
      <c r="F247" s="6">
        <v>605784.34773543838</v>
      </c>
      <c r="G247" s="6">
        <v>67564.212264561676</v>
      </c>
    </row>
    <row r="248" spans="1:7">
      <c r="A248">
        <v>679230.86</v>
      </c>
      <c r="B248">
        <v>7374</v>
      </c>
      <c r="E248" s="6">
        <v>220</v>
      </c>
      <c r="F248" s="6">
        <v>613312.41229176545</v>
      </c>
      <c r="G248" s="6">
        <v>-7034.1122917653993</v>
      </c>
    </row>
    <row r="249" spans="1:7">
      <c r="A249">
        <v>679888.74</v>
      </c>
      <c r="B249">
        <v>8119</v>
      </c>
      <c r="E249" s="6">
        <v>221</v>
      </c>
      <c r="F249" s="6">
        <v>706539.10748457501</v>
      </c>
      <c r="G249" s="6">
        <v>5680.7025154250441</v>
      </c>
    </row>
    <row r="250" spans="1:7">
      <c r="A250">
        <v>606783.67000000004</v>
      </c>
      <c r="B250">
        <v>3875</v>
      </c>
      <c r="E250" s="6">
        <v>222</v>
      </c>
      <c r="F250" s="6">
        <v>710570.72499578341</v>
      </c>
      <c r="G250" s="6">
        <v>-37900.184995783377</v>
      </c>
    </row>
    <row r="251" spans="1:7">
      <c r="A251">
        <v>642751.42000000004</v>
      </c>
      <c r="B251">
        <v>5765</v>
      </c>
      <c r="E251" s="6">
        <v>223</v>
      </c>
      <c r="F251" s="6">
        <v>727553.4677863603</v>
      </c>
      <c r="G251" s="6">
        <v>5114.4522136397427</v>
      </c>
    </row>
    <row r="252" spans="1:7">
      <c r="A252">
        <v>647953.78</v>
      </c>
      <c r="B252">
        <v>6322</v>
      </c>
      <c r="E252" s="6">
        <v>224</v>
      </c>
      <c r="F252" s="6">
        <v>759413.94953422819</v>
      </c>
      <c r="G252" s="6">
        <v>-35882.549534228165</v>
      </c>
    </row>
    <row r="253" spans="1:7">
      <c r="A253">
        <v>729440.45</v>
      </c>
      <c r="B253">
        <v>6840</v>
      </c>
      <c r="E253" s="6">
        <v>225</v>
      </c>
      <c r="F253" s="6">
        <v>614561.14337930793</v>
      </c>
      <c r="G253" s="6">
        <v>27003.456620692043</v>
      </c>
    </row>
    <row r="254" spans="1:7">
      <c r="A254">
        <v>764949</v>
      </c>
      <c r="B254">
        <v>6782</v>
      </c>
      <c r="E254" s="6">
        <v>226</v>
      </c>
      <c r="F254" s="6">
        <v>547807.54724239768</v>
      </c>
      <c r="G254" s="6">
        <v>-11262.057242397685</v>
      </c>
    </row>
    <row r="255" spans="1:7">
      <c r="A255">
        <v>799046.94</v>
      </c>
      <c r="B255">
        <v>6856</v>
      </c>
      <c r="E255" s="6">
        <v>227</v>
      </c>
      <c r="F255" s="6">
        <v>584555.91924721724</v>
      </c>
      <c r="G255" s="6">
        <v>-56874.359247217188</v>
      </c>
    </row>
    <row r="256" spans="1:7">
      <c r="A256">
        <v>720079.54</v>
      </c>
      <c r="B256">
        <v>5641</v>
      </c>
      <c r="E256" s="6">
        <v>228</v>
      </c>
      <c r="F256" s="6">
        <v>495467.87565883406</v>
      </c>
      <c r="G256" s="6">
        <v>34131.064341165882</v>
      </c>
    </row>
    <row r="257" spans="1:7">
      <c r="A257">
        <v>612390.14</v>
      </c>
      <c r="B257">
        <v>5787</v>
      </c>
      <c r="E257" s="6">
        <v>229</v>
      </c>
      <c r="F257" s="6">
        <v>658944.61403367261</v>
      </c>
      <c r="G257" s="6">
        <v>-87981.304033672553</v>
      </c>
    </row>
    <row r="258" spans="1:7">
      <c r="A258">
        <v>840108.12</v>
      </c>
      <c r="B258">
        <v>8165</v>
      </c>
      <c r="E258" s="6">
        <v>230</v>
      </c>
      <c r="F258" s="6">
        <v>766121.41937588458</v>
      </c>
      <c r="G258" s="6">
        <v>104815.98062411544</v>
      </c>
    </row>
    <row r="259" spans="1:7">
      <c r="A259">
        <v>697888.09</v>
      </c>
      <c r="B259">
        <v>7574</v>
      </c>
      <c r="E259" s="6">
        <v>231</v>
      </c>
      <c r="F259" s="6">
        <v>679923.29630438518</v>
      </c>
      <c r="G259" s="6">
        <v>-82954.026304385159</v>
      </c>
    </row>
    <row r="260" spans="1:7">
      <c r="A260">
        <v>746115.59</v>
      </c>
      <c r="B260">
        <v>8634</v>
      </c>
      <c r="E260" s="6">
        <v>232</v>
      </c>
      <c r="F260" s="6">
        <v>641105.59849735245</v>
      </c>
      <c r="G260" s="6">
        <v>6407.2515026475303</v>
      </c>
    </row>
    <row r="261" spans="1:7">
      <c r="A261">
        <v>776110.32</v>
      </c>
      <c r="B261">
        <v>7836</v>
      </c>
      <c r="E261" s="6">
        <v>233</v>
      </c>
      <c r="F261" s="6">
        <v>598541.70742769237</v>
      </c>
      <c r="G261" s="6">
        <v>59530.432572307647</v>
      </c>
    </row>
    <row r="262" spans="1:7">
      <c r="A262">
        <v>528852.62</v>
      </c>
      <c r="B262">
        <v>3047</v>
      </c>
      <c r="E262" s="6">
        <v>234</v>
      </c>
      <c r="F262" s="6">
        <v>636253.38627147325</v>
      </c>
      <c r="G262" s="6">
        <v>87051.723728526733</v>
      </c>
    </row>
    <row r="263" spans="1:7">
      <c r="A263">
        <v>605751.32999999996</v>
      </c>
      <c r="B263">
        <v>4783</v>
      </c>
      <c r="E263" s="6">
        <v>235</v>
      </c>
      <c r="F263" s="6">
        <v>641890.51518095052</v>
      </c>
      <c r="G263" s="6">
        <v>-1223.9851809504908</v>
      </c>
    </row>
    <row r="264" spans="1:7">
      <c r="A264">
        <v>677640.65</v>
      </c>
      <c r="B264">
        <v>4902</v>
      </c>
      <c r="E264" s="6">
        <v>236</v>
      </c>
      <c r="F264" s="6">
        <v>666508.35662107239</v>
      </c>
      <c r="G264" s="6">
        <v>4121.1233789275866</v>
      </c>
    </row>
    <row r="265" spans="1:7">
      <c r="A265">
        <v>636613.23</v>
      </c>
      <c r="B265">
        <v>4022</v>
      </c>
      <c r="E265" s="6">
        <v>237</v>
      </c>
      <c r="F265" s="6">
        <v>799908.5148016751</v>
      </c>
      <c r="G265" s="6">
        <v>-78829.164801675128</v>
      </c>
    </row>
    <row r="266" spans="1:7">
      <c r="A266">
        <v>708985.19</v>
      </c>
      <c r="B266">
        <v>7324</v>
      </c>
      <c r="E266" s="6">
        <v>238</v>
      </c>
      <c r="F266" s="6">
        <v>803048.18153606751</v>
      </c>
      <c r="G266" s="6">
        <v>7306.8384639325086</v>
      </c>
    </row>
    <row r="267" spans="1:7">
      <c r="A267">
        <v>767792.94</v>
      </c>
      <c r="B267">
        <v>8129</v>
      </c>
      <c r="E267" s="6">
        <v>239</v>
      </c>
      <c r="F267" s="6">
        <v>792558.84040071117</v>
      </c>
      <c r="G267" s="6">
        <v>-30639.590400711168</v>
      </c>
    </row>
    <row r="268" spans="1:7">
      <c r="A268">
        <v>745580.51</v>
      </c>
      <c r="B268">
        <v>7969</v>
      </c>
      <c r="E268" s="6">
        <v>240</v>
      </c>
      <c r="F268" s="6">
        <v>778715.76434452669</v>
      </c>
      <c r="G268" s="6">
        <v>-41645.584344526636</v>
      </c>
    </row>
    <row r="269" spans="1:7">
      <c r="A269">
        <v>762328.31</v>
      </c>
      <c r="B269">
        <v>7240</v>
      </c>
      <c r="E269" s="6">
        <v>241</v>
      </c>
      <c r="F269" s="6">
        <v>733797.12322407239</v>
      </c>
      <c r="G269" s="6">
        <v>43195.80677592766</v>
      </c>
    </row>
    <row r="270" spans="1:7">
      <c r="A270">
        <v>660633.99</v>
      </c>
      <c r="B270">
        <v>8052</v>
      </c>
      <c r="E270" s="6">
        <v>242</v>
      </c>
      <c r="F270" s="6">
        <v>647920.10243222676</v>
      </c>
      <c r="G270" s="6">
        <v>28417.30756777327</v>
      </c>
    </row>
    <row r="271" spans="1:7">
      <c r="A271">
        <v>739374.56</v>
      </c>
      <c r="B271">
        <v>8018</v>
      </c>
      <c r="E271" s="6">
        <v>243</v>
      </c>
      <c r="F271" s="6">
        <v>805902.42402187875</v>
      </c>
      <c r="G271" s="6">
        <v>22317.245978121297</v>
      </c>
    </row>
    <row r="272" spans="1:7">
      <c r="A272">
        <v>799756.46</v>
      </c>
      <c r="B272">
        <v>10192</v>
      </c>
      <c r="E272" s="6">
        <v>244</v>
      </c>
      <c r="F272" s="6">
        <v>731977.54363936768</v>
      </c>
      <c r="G272" s="6">
        <v>31182.376360632363</v>
      </c>
    </row>
    <row r="273" spans="1:7">
      <c r="A273">
        <v>593343</v>
      </c>
      <c r="B273">
        <v>7446</v>
      </c>
      <c r="E273" s="6">
        <v>245</v>
      </c>
      <c r="F273" s="6">
        <v>765158.11253692326</v>
      </c>
      <c r="G273" s="6">
        <v>36843.56746307679</v>
      </c>
    </row>
    <row r="274" spans="1:7">
      <c r="A274">
        <v>645039.97</v>
      </c>
      <c r="B274">
        <v>5689</v>
      </c>
      <c r="E274" s="6">
        <v>246</v>
      </c>
      <c r="F274" s="6">
        <v>757986.82829132257</v>
      </c>
      <c r="G274" s="6">
        <v>-7515.4882913226029</v>
      </c>
    </row>
    <row r="275" spans="1:7">
      <c r="A275">
        <v>561597.32999999996</v>
      </c>
      <c r="B275">
        <v>3326</v>
      </c>
      <c r="E275" s="6">
        <v>247</v>
      </c>
      <c r="F275" s="6">
        <v>709500.38406360417</v>
      </c>
      <c r="G275" s="6">
        <v>-30269.524063604185</v>
      </c>
    </row>
    <row r="276" spans="1:7">
      <c r="A276">
        <v>635837.74</v>
      </c>
      <c r="B276">
        <v>5767</v>
      </c>
      <c r="E276" s="6">
        <v>248</v>
      </c>
      <c r="F276" s="6">
        <v>736080.51721272129</v>
      </c>
      <c r="G276" s="6">
        <v>-56191.777212721296</v>
      </c>
    </row>
    <row r="277" spans="1:7">
      <c r="A277">
        <v>686737.87</v>
      </c>
      <c r="B277">
        <v>5893</v>
      </c>
      <c r="E277" s="6">
        <v>249</v>
      </c>
      <c r="F277" s="6">
        <v>584662.95334043517</v>
      </c>
      <c r="G277" s="6">
        <v>22120.716659564874</v>
      </c>
    </row>
    <row r="278" spans="1:7">
      <c r="A278">
        <v>673076.34</v>
      </c>
      <c r="B278">
        <v>8564</v>
      </c>
      <c r="E278" s="6">
        <v>250</v>
      </c>
      <c r="F278" s="6">
        <v>652094.43206772569</v>
      </c>
      <c r="G278" s="6">
        <v>-9343.0120677256491</v>
      </c>
    </row>
    <row r="279" spans="1:7">
      <c r="A279">
        <v>738548.42</v>
      </c>
      <c r="B279">
        <v>8001</v>
      </c>
      <c r="E279" s="6">
        <v>251</v>
      </c>
      <c r="F279" s="6">
        <v>671967.09537518641</v>
      </c>
      <c r="G279" s="6">
        <v>-24013.315375186387</v>
      </c>
    </row>
    <row r="280" spans="1:7">
      <c r="A280">
        <v>756619.77</v>
      </c>
      <c r="B280">
        <v>9324</v>
      </c>
      <c r="E280" s="6">
        <v>252</v>
      </c>
      <c r="F280" s="6">
        <v>690448.31547081424</v>
      </c>
      <c r="G280" s="6">
        <v>38992.134529185714</v>
      </c>
    </row>
    <row r="281" spans="1:7">
      <c r="A281">
        <v>761122.42</v>
      </c>
      <c r="B281">
        <v>9109</v>
      </c>
      <c r="E281" s="6">
        <v>253</v>
      </c>
      <c r="F281" s="6">
        <v>688378.98966860096</v>
      </c>
      <c r="G281" s="6">
        <v>76570.01033139904</v>
      </c>
    </row>
    <row r="282" spans="1:7">
      <c r="A282">
        <v>524899.56999999995</v>
      </c>
      <c r="B282">
        <v>4022</v>
      </c>
      <c r="E282" s="6">
        <v>254</v>
      </c>
      <c r="F282" s="6">
        <v>691019.16396797635</v>
      </c>
      <c r="G282" s="6">
        <v>108027.7760320236</v>
      </c>
    </row>
    <row r="283" spans="1:7">
      <c r="A283">
        <v>555557.77</v>
      </c>
      <c r="B283">
        <v>4355</v>
      </c>
      <c r="E283" s="6">
        <v>255</v>
      </c>
      <c r="F283" s="6">
        <v>647670.35621471819</v>
      </c>
      <c r="G283" s="6">
        <v>72409.183785281843</v>
      </c>
    </row>
    <row r="284" spans="1:7">
      <c r="A284">
        <v>714083.68</v>
      </c>
      <c r="B284">
        <v>5745</v>
      </c>
      <c r="E284" s="6">
        <v>256</v>
      </c>
      <c r="F284" s="6">
        <v>652879.34875132376</v>
      </c>
      <c r="G284" s="6">
        <v>-40489.208751323749</v>
      </c>
    </row>
    <row r="285" spans="1:7">
      <c r="A285">
        <v>497439.82</v>
      </c>
      <c r="B285">
        <v>3027</v>
      </c>
      <c r="E285" s="6">
        <v>257</v>
      </c>
      <c r="F285" s="6">
        <v>737721.70664206275</v>
      </c>
      <c r="G285" s="6">
        <v>102386.41335793724</v>
      </c>
    </row>
    <row r="286" spans="1:7">
      <c r="A286">
        <v>636775.66</v>
      </c>
      <c r="B286">
        <v>5562</v>
      </c>
      <c r="E286" s="6">
        <v>258</v>
      </c>
      <c r="F286" s="6">
        <v>716635.99027813226</v>
      </c>
      <c r="G286" s="6">
        <v>-18747.900278132292</v>
      </c>
    </row>
    <row r="287" spans="1:7">
      <c r="A287">
        <v>633009.53</v>
      </c>
      <c r="B287">
        <v>4487</v>
      </c>
      <c r="E287" s="6">
        <v>259</v>
      </c>
      <c r="F287" s="6">
        <v>754454.70321513107</v>
      </c>
      <c r="G287" s="6">
        <v>-8339.1132151311031</v>
      </c>
    </row>
    <row r="288" spans="1:7">
      <c r="A288">
        <v>609949</v>
      </c>
      <c r="B288">
        <v>4162</v>
      </c>
      <c r="E288" s="6">
        <v>260</v>
      </c>
      <c r="F288" s="6">
        <v>725983.63441916415</v>
      </c>
      <c r="G288" s="6">
        <v>50126.685580835794</v>
      </c>
    </row>
    <row r="289" spans="1:7">
      <c r="A289">
        <v>548103.69999999995</v>
      </c>
      <c r="B289">
        <v>4094</v>
      </c>
      <c r="E289" s="6">
        <v>261</v>
      </c>
      <c r="F289" s="6">
        <v>555121.54361228889</v>
      </c>
      <c r="G289" s="6">
        <v>-26268.923612288898</v>
      </c>
    </row>
    <row r="290" spans="1:7">
      <c r="A290">
        <v>729424.42</v>
      </c>
      <c r="B290">
        <v>8484</v>
      </c>
      <c r="E290" s="6">
        <v>262</v>
      </c>
      <c r="F290" s="6">
        <v>617058.60555439279</v>
      </c>
      <c r="G290" s="6">
        <v>-11307.275554392836</v>
      </c>
    </row>
    <row r="291" spans="1:7">
      <c r="A291">
        <v>696261.49</v>
      </c>
      <c r="B291">
        <v>7794</v>
      </c>
      <c r="E291" s="6">
        <v>263</v>
      </c>
      <c r="F291" s="6">
        <v>621304.29125203693</v>
      </c>
      <c r="G291" s="6">
        <v>56336.358747963095</v>
      </c>
    </row>
    <row r="292" spans="1:7">
      <c r="A292">
        <v>813316.71</v>
      </c>
      <c r="B292">
        <v>8300</v>
      </c>
      <c r="E292" s="6">
        <v>264</v>
      </c>
      <c r="F292" s="6">
        <v>589907.62390811334</v>
      </c>
      <c r="G292" s="6">
        <v>46705.606091886642</v>
      </c>
    </row>
    <row r="293" spans="1:7">
      <c r="A293">
        <v>702068.92</v>
      </c>
      <c r="B293">
        <v>7083</v>
      </c>
      <c r="E293" s="6">
        <v>265</v>
      </c>
      <c r="F293" s="6">
        <v>707716.48250997218</v>
      </c>
      <c r="G293" s="6">
        <v>1268.7074900277657</v>
      </c>
    </row>
    <row r="294" spans="1:7">
      <c r="A294">
        <v>546223.69999999995</v>
      </c>
      <c r="B294">
        <v>3834</v>
      </c>
      <c r="E294" s="6">
        <v>266</v>
      </c>
      <c r="F294" s="6">
        <v>736437.29752344778</v>
      </c>
      <c r="G294" s="6">
        <v>31355.642476552166</v>
      </c>
    </row>
    <row r="295" spans="1:7">
      <c r="A295">
        <v>533121.26</v>
      </c>
      <c r="B295">
        <v>2358</v>
      </c>
      <c r="E295" s="6">
        <v>267</v>
      </c>
      <c r="F295" s="6">
        <v>730728.81255182531</v>
      </c>
      <c r="G295" s="6">
        <v>14851.697448174702</v>
      </c>
    </row>
    <row r="296" spans="1:7">
      <c r="A296">
        <v>498970.32</v>
      </c>
      <c r="B296">
        <v>1231</v>
      </c>
      <c r="E296" s="6">
        <v>268</v>
      </c>
      <c r="F296" s="6">
        <v>704719.52789987042</v>
      </c>
      <c r="G296" s="6">
        <v>57608.78210012964</v>
      </c>
    </row>
    <row r="297" spans="1:7">
      <c r="A297">
        <v>487738.26</v>
      </c>
      <c r="B297">
        <v>1723</v>
      </c>
      <c r="E297" s="6">
        <v>269</v>
      </c>
      <c r="F297" s="6">
        <v>733690.08913085447</v>
      </c>
      <c r="G297" s="6">
        <v>-73056.099130854476</v>
      </c>
    </row>
    <row r="298" spans="1:7">
      <c r="A298">
        <v>668459.37</v>
      </c>
      <c r="B298">
        <v>5896</v>
      </c>
      <c r="E298" s="6">
        <v>270</v>
      </c>
      <c r="F298" s="6">
        <v>732477.03607438458</v>
      </c>
      <c r="G298" s="6">
        <v>6897.5239256154746</v>
      </c>
    </row>
    <row r="299" spans="1:7">
      <c r="A299">
        <v>763162.45</v>
      </c>
      <c r="B299">
        <v>5903</v>
      </c>
      <c r="E299" s="6">
        <v>271</v>
      </c>
      <c r="F299" s="6">
        <v>810041.07562630507</v>
      </c>
      <c r="G299" s="6">
        <v>-10284.615626305109</v>
      </c>
    </row>
    <row r="300" spans="1:7">
      <c r="A300">
        <v>599017.32999999996</v>
      </c>
      <c r="B300">
        <v>4898</v>
      </c>
      <c r="E300" s="6">
        <v>272</v>
      </c>
      <c r="F300" s="6">
        <v>712069.20230083424</v>
      </c>
      <c r="G300" s="6">
        <v>-118726.20230083424</v>
      </c>
    </row>
    <row r="301" spans="1:7">
      <c r="A301">
        <v>401582.58</v>
      </c>
      <c r="B301">
        <v>1462</v>
      </c>
      <c r="E301" s="6">
        <v>273</v>
      </c>
      <c r="F301" s="6">
        <v>649382.90170620498</v>
      </c>
      <c r="G301" s="6">
        <v>-4342.9317062050104</v>
      </c>
    </row>
    <row r="302" spans="1:7">
      <c r="A302">
        <v>703812.99</v>
      </c>
      <c r="B302">
        <v>8252</v>
      </c>
      <c r="E302" s="6">
        <v>274</v>
      </c>
      <c r="F302" s="6">
        <v>565075.71428155561</v>
      </c>
      <c r="G302" s="6">
        <v>-3478.3842815556563</v>
      </c>
    </row>
    <row r="303" spans="1:7">
      <c r="A303">
        <v>724346.73</v>
      </c>
      <c r="B303">
        <v>7989</v>
      </c>
      <c r="E303" s="6">
        <v>275</v>
      </c>
      <c r="F303" s="6">
        <v>652165.78812987101</v>
      </c>
      <c r="G303" s="6">
        <v>-16328.048129871022</v>
      </c>
    </row>
    <row r="304" spans="1:7">
      <c r="A304">
        <v>730890.01</v>
      </c>
      <c r="B304">
        <v>8268</v>
      </c>
      <c r="E304" s="6">
        <v>276</v>
      </c>
      <c r="F304" s="6">
        <v>656661.2200450236</v>
      </c>
      <c r="G304" s="6">
        <v>30076.649954976398</v>
      </c>
    </row>
    <row r="305" spans="1:7">
      <c r="A305">
        <v>780580.95</v>
      </c>
      <c r="B305">
        <v>8183</v>
      </c>
      <c r="E305" s="6">
        <v>277</v>
      </c>
      <c r="F305" s="6">
        <v>751957.24104004633</v>
      </c>
      <c r="G305" s="6">
        <v>-78880.901040046359</v>
      </c>
    </row>
    <row r="306" spans="1:7">
      <c r="A306">
        <v>727957.48</v>
      </c>
      <c r="B306">
        <v>6534</v>
      </c>
      <c r="E306" s="6">
        <v>278</v>
      </c>
      <c r="F306" s="6">
        <v>731870.50954614975</v>
      </c>
      <c r="G306" s="6">
        <v>6677.910453850287</v>
      </c>
    </row>
    <row r="307" spans="1:7">
      <c r="A307">
        <v>538376</v>
      </c>
      <c r="B307">
        <v>5804</v>
      </c>
      <c r="E307" s="6">
        <v>279</v>
      </c>
      <c r="F307" s="6">
        <v>779072.54465525306</v>
      </c>
      <c r="G307" s="6">
        <v>-22452.774655253044</v>
      </c>
    </row>
    <row r="308" spans="1:7">
      <c r="A308">
        <v>665342.49</v>
      </c>
      <c r="B308">
        <v>6301</v>
      </c>
      <c r="E308" s="6">
        <v>280</v>
      </c>
      <c r="F308" s="6">
        <v>771401.76797463535</v>
      </c>
      <c r="G308" s="6">
        <v>-10279.347974635311</v>
      </c>
    </row>
    <row r="309" spans="1:7">
      <c r="A309">
        <v>651164.18000000005</v>
      </c>
      <c r="B309">
        <v>6399</v>
      </c>
      <c r="E309" s="6">
        <v>281</v>
      </c>
      <c r="F309" s="6">
        <v>589907.62390811334</v>
      </c>
      <c r="G309" s="6">
        <v>-65008.05390811339</v>
      </c>
    </row>
    <row r="310" spans="1:7">
      <c r="A310">
        <v>628538.30000000005</v>
      </c>
      <c r="B310">
        <v>5759</v>
      </c>
      <c r="E310" s="6">
        <v>282</v>
      </c>
      <c r="F310" s="6">
        <v>601788.40825530258</v>
      </c>
      <c r="G310" s="6">
        <v>-46230.638255302561</v>
      </c>
    </row>
    <row r="311" spans="1:7">
      <c r="A311">
        <v>536524.84</v>
      </c>
      <c r="B311">
        <v>5285</v>
      </c>
      <c r="E311" s="6">
        <v>283</v>
      </c>
      <c r="F311" s="6">
        <v>651380.87144627282</v>
      </c>
      <c r="G311" s="6">
        <v>62702.808553727227</v>
      </c>
    </row>
    <row r="312" spans="1:7">
      <c r="A312">
        <v>621677.30000000005</v>
      </c>
      <c r="B312">
        <v>5434</v>
      </c>
      <c r="E312" s="6">
        <v>284</v>
      </c>
      <c r="F312" s="6">
        <v>554407.98299083614</v>
      </c>
      <c r="G312" s="6">
        <v>-56968.162990836136</v>
      </c>
    </row>
    <row r="313" spans="1:7">
      <c r="A313">
        <v>771129.07</v>
      </c>
      <c r="B313">
        <v>7479</v>
      </c>
      <c r="E313" s="6">
        <v>285</v>
      </c>
      <c r="F313" s="6">
        <v>644851.79175997968</v>
      </c>
      <c r="G313" s="6">
        <v>-8076.1317599796457</v>
      </c>
    </row>
    <row r="314" spans="1:7">
      <c r="A314">
        <v>702052.47</v>
      </c>
      <c r="B314">
        <v>6164</v>
      </c>
      <c r="E314" s="6">
        <v>286</v>
      </c>
      <c r="F314" s="6">
        <v>606497.90835689125</v>
      </c>
      <c r="G314" s="6">
        <v>26511.621643108781</v>
      </c>
    </row>
    <row r="315" spans="1:7">
      <c r="A315">
        <v>688368.46</v>
      </c>
      <c r="B315">
        <v>7973</v>
      </c>
      <c r="E315" s="6">
        <v>287</v>
      </c>
      <c r="F315" s="6">
        <v>594902.54825828306</v>
      </c>
      <c r="G315" s="6">
        <v>15046.451741716941</v>
      </c>
    </row>
    <row r="316" spans="1:7">
      <c r="A316">
        <v>712375.77</v>
      </c>
      <c r="B316">
        <v>6000</v>
      </c>
      <c r="E316" s="6">
        <v>288</v>
      </c>
      <c r="F316" s="6">
        <v>592476.4421453434</v>
      </c>
      <c r="G316" s="6">
        <v>-44372.742145343451</v>
      </c>
    </row>
    <row r="317" spans="1:7">
      <c r="A317">
        <v>844710.67</v>
      </c>
      <c r="B317">
        <v>9967</v>
      </c>
      <c r="E317" s="6">
        <v>289</v>
      </c>
      <c r="F317" s="6">
        <v>749102.99855423509</v>
      </c>
      <c r="G317" s="6">
        <v>-19678.57855423505</v>
      </c>
    </row>
    <row r="318" spans="1:7">
      <c r="A318">
        <v>620264.19999999995</v>
      </c>
      <c r="B318">
        <v>5639</v>
      </c>
      <c r="E318" s="6">
        <v>290</v>
      </c>
      <c r="F318" s="6">
        <v>724485.15711411322</v>
      </c>
      <c r="G318" s="6">
        <v>-28223.667114113225</v>
      </c>
    </row>
    <row r="319" spans="1:7">
      <c r="A319">
        <v>536845.42000000004</v>
      </c>
      <c r="B319">
        <v>3466</v>
      </c>
      <c r="E319" s="6">
        <v>291</v>
      </c>
      <c r="F319" s="6">
        <v>742538.24083686923</v>
      </c>
      <c r="G319" s="6">
        <v>70778.469163130736</v>
      </c>
    </row>
    <row r="320" spans="1:7">
      <c r="A320">
        <v>726776.22</v>
      </c>
      <c r="B320">
        <v>7775</v>
      </c>
      <c r="E320" s="6">
        <v>292</v>
      </c>
      <c r="F320" s="6">
        <v>699118.07702146587</v>
      </c>
      <c r="G320" s="6">
        <v>2950.8429785341723</v>
      </c>
    </row>
    <row r="321" spans="1:7">
      <c r="A321">
        <v>559660.84</v>
      </c>
      <c r="B321">
        <v>5317</v>
      </c>
      <c r="E321" s="6">
        <v>293</v>
      </c>
      <c r="F321" s="6">
        <v>583200.15406645695</v>
      </c>
      <c r="G321" s="6">
        <v>-36976.454066456994</v>
      </c>
    </row>
    <row r="322" spans="1:7">
      <c r="E322" s="6">
        <v>294</v>
      </c>
      <c r="F322" s="6">
        <v>530539.38020323962</v>
      </c>
      <c r="G322" s="6">
        <v>2581.8797967603896</v>
      </c>
    </row>
    <row r="323" spans="1:7">
      <c r="E323" s="6">
        <v>295</v>
      </c>
      <c r="F323" s="6">
        <v>490330.23918437387</v>
      </c>
      <c r="G323" s="6">
        <v>8640.0808156261337</v>
      </c>
    </row>
    <row r="324" spans="1:7">
      <c r="E324" s="6">
        <v>296</v>
      </c>
      <c r="F324" s="6">
        <v>507883.83047211292</v>
      </c>
      <c r="G324" s="6">
        <v>-20145.570472112915</v>
      </c>
    </row>
    <row r="325" spans="1:7">
      <c r="E325" s="6">
        <v>297</v>
      </c>
      <c r="F325" s="6">
        <v>656768.25413824152</v>
      </c>
      <c r="G325" s="6">
        <v>11691.115861758473</v>
      </c>
    </row>
    <row r="326" spans="1:7">
      <c r="E326" s="6">
        <v>298</v>
      </c>
      <c r="F326" s="6">
        <v>657018.00035575009</v>
      </c>
      <c r="G326" s="6">
        <v>106144.44964424986</v>
      </c>
    </row>
    <row r="327" spans="1:7">
      <c r="E327" s="6">
        <v>299</v>
      </c>
      <c r="F327" s="6">
        <v>621161.5791277464</v>
      </c>
      <c r="G327" s="6">
        <v>-22144.249127746443</v>
      </c>
    </row>
    <row r="328" spans="1:7">
      <c r="E328" s="6">
        <v>300</v>
      </c>
      <c r="F328" s="6">
        <v>498571.86436215381</v>
      </c>
      <c r="G328" s="6">
        <v>-96989.28436215379</v>
      </c>
    </row>
    <row r="329" spans="1:7">
      <c r="E329" s="6">
        <v>301</v>
      </c>
      <c r="F329" s="6">
        <v>740825.69534538244</v>
      </c>
      <c r="G329" s="6">
        <v>-37012.705345382448</v>
      </c>
    </row>
    <row r="330" spans="1:7">
      <c r="E330" s="6">
        <v>302</v>
      </c>
      <c r="F330" s="6">
        <v>731442.37317327806</v>
      </c>
      <c r="G330" s="6">
        <v>-7095.6431732780766</v>
      </c>
    </row>
    <row r="331" spans="1:7">
      <c r="E331" s="6">
        <v>303</v>
      </c>
      <c r="F331" s="6">
        <v>741396.54384254478</v>
      </c>
      <c r="G331" s="6">
        <v>-10506.53384254477</v>
      </c>
    </row>
    <row r="332" spans="1:7">
      <c r="E332" s="6">
        <v>304</v>
      </c>
      <c r="F332" s="6">
        <v>738363.9112013703</v>
      </c>
      <c r="G332" s="6">
        <v>42217.038798629656</v>
      </c>
    </row>
    <row r="333" spans="1:7">
      <c r="E333" s="6">
        <v>305</v>
      </c>
      <c r="F333" s="6">
        <v>679530.8379625862</v>
      </c>
      <c r="G333" s="6">
        <v>48426.642037413782</v>
      </c>
    </row>
    <row r="334" spans="1:7">
      <c r="E334" s="6">
        <v>306</v>
      </c>
      <c r="F334" s="6">
        <v>653485.87527955859</v>
      </c>
      <c r="G334" s="6">
        <v>-115109.87527955859</v>
      </c>
    </row>
    <row r="335" spans="1:7">
      <c r="E335" s="6">
        <v>307</v>
      </c>
      <c r="F335" s="6">
        <v>671217.85672266094</v>
      </c>
      <c r="G335" s="6">
        <v>-5875.3667226609541</v>
      </c>
    </row>
    <row r="336" spans="1:7">
      <c r="E336" s="6">
        <v>308</v>
      </c>
      <c r="F336" s="6">
        <v>674714.30376777973</v>
      </c>
      <c r="G336" s="6">
        <v>-23550.123767779674</v>
      </c>
    </row>
    <row r="337" spans="5:7">
      <c r="E337" s="6">
        <v>309</v>
      </c>
      <c r="F337" s="6">
        <v>651880.36388128984</v>
      </c>
      <c r="G337" s="6">
        <v>-23342.063881289796</v>
      </c>
    </row>
    <row r="338" spans="5:7">
      <c r="E338" s="6">
        <v>310</v>
      </c>
      <c r="F338" s="6">
        <v>634968.97715285828</v>
      </c>
      <c r="G338" s="6">
        <v>-98444.137152858311</v>
      </c>
    </row>
    <row r="339" spans="5:7">
      <c r="E339" s="6">
        <v>311</v>
      </c>
      <c r="F339" s="6">
        <v>640285.00378268166</v>
      </c>
      <c r="G339" s="6">
        <v>-18607.703782681609</v>
      </c>
    </row>
    <row r="340" spans="5:7">
      <c r="E340" s="6">
        <v>312</v>
      </c>
      <c r="F340" s="6">
        <v>713246.5773262314</v>
      </c>
      <c r="G340" s="6">
        <v>57882.492673768546</v>
      </c>
    </row>
    <row r="341" spans="5:7">
      <c r="E341" s="6">
        <v>313</v>
      </c>
      <c r="F341" s="6">
        <v>666329.96646570927</v>
      </c>
      <c r="G341" s="6">
        <v>35722.503534290707</v>
      </c>
    </row>
    <row r="342" spans="5:7">
      <c r="E342" s="6">
        <v>314</v>
      </c>
      <c r="F342" s="6">
        <v>730871.52467611583</v>
      </c>
      <c r="G342" s="6">
        <v>-42503.064676115871</v>
      </c>
    </row>
    <row r="343" spans="5:7">
      <c r="E343" s="6">
        <v>315</v>
      </c>
      <c r="F343" s="6">
        <v>660478.76936979615</v>
      </c>
      <c r="G343" s="6">
        <v>51897.000630203867</v>
      </c>
    </row>
    <row r="344" spans="5:7">
      <c r="E344" s="6">
        <v>316</v>
      </c>
      <c r="F344" s="6">
        <v>802013.51863496087</v>
      </c>
      <c r="G344" s="6">
        <v>42697.151365039172</v>
      </c>
    </row>
    <row r="345" spans="5:7">
      <c r="E345" s="6">
        <v>317</v>
      </c>
      <c r="F345" s="6">
        <v>647599.00015257299</v>
      </c>
      <c r="G345" s="6">
        <v>-27334.800152573036</v>
      </c>
    </row>
    <row r="346" spans="5:7">
      <c r="E346" s="6">
        <v>318</v>
      </c>
      <c r="F346" s="6">
        <v>570070.63863172522</v>
      </c>
      <c r="G346" s="6">
        <v>-33225.218631725176</v>
      </c>
    </row>
    <row r="347" spans="5:7">
      <c r="E347" s="6">
        <v>319</v>
      </c>
      <c r="F347" s="6">
        <v>723807.27452373295</v>
      </c>
      <c r="G347" s="6">
        <v>2968.9454762670211</v>
      </c>
    </row>
    <row r="348" spans="5:7" ht="15" thickBot="1">
      <c r="E348" s="7">
        <v>320</v>
      </c>
      <c r="F348" s="7">
        <v>636110.67414718273</v>
      </c>
      <c r="G348" s="7">
        <v>-76449.834147182759</v>
      </c>
    </row>
  </sheetData>
  <mergeCells count="1">
    <mergeCell ref="E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FF44-7247-4113-A35C-9EE718B9A653}">
  <dimension ref="A1:T359"/>
  <sheetViews>
    <sheetView workbookViewId="0">
      <selection activeCell="L5" sqref="L5"/>
    </sheetView>
  </sheetViews>
  <sheetFormatPr defaultRowHeight="14.4"/>
  <cols>
    <col min="1" max="1" width="13.21875" bestFit="1" customWidth="1"/>
    <col min="2" max="2" width="6.88671875" bestFit="1" customWidth="1"/>
    <col min="3" max="3" width="15.77734375" bestFit="1" customWidth="1"/>
    <col min="4" max="4" width="23.109375" bestFit="1" customWidth="1"/>
    <col min="5" max="5" width="17.88671875" bestFit="1" customWidth="1"/>
    <col min="6" max="6" width="17.5546875" bestFit="1" customWidth="1"/>
    <col min="7" max="7" width="12.21875" bestFit="1" customWidth="1"/>
    <col min="8" max="8" width="10" bestFit="1" customWidth="1"/>
    <col min="12" max="12" width="22.21875" bestFit="1" customWidth="1"/>
    <col min="13" max="13" width="21.44140625" bestFit="1" customWidth="1"/>
    <col min="14" max="14" width="13.44140625" bestFit="1" customWidth="1"/>
    <col min="15" max="15" width="12.6640625" bestFit="1" customWidth="1"/>
    <col min="16" max="16" width="12" bestFit="1" customWidth="1"/>
    <col min="17" max="20" width="12.6640625" bestFit="1" customWidth="1"/>
  </cols>
  <sheetData>
    <row r="1" spans="1:13">
      <c r="A1" s="4" t="s">
        <v>12</v>
      </c>
      <c r="B1" s="17" t="s">
        <v>5</v>
      </c>
      <c r="C1" s="15" t="s">
        <v>4</v>
      </c>
      <c r="D1" s="15" t="s">
        <v>8</v>
      </c>
      <c r="E1" s="16" t="s">
        <v>137</v>
      </c>
      <c r="F1" s="16" t="s">
        <v>105</v>
      </c>
      <c r="G1" s="16" t="s">
        <v>106</v>
      </c>
      <c r="H1" s="18" t="s">
        <v>3</v>
      </c>
    </row>
    <row r="2" spans="1:13">
      <c r="A2">
        <v>658832.62</v>
      </c>
      <c r="B2" s="1">
        <v>8302</v>
      </c>
      <c r="C2">
        <v>70389.11</v>
      </c>
      <c r="D2">
        <v>75</v>
      </c>
      <c r="E2">
        <v>1</v>
      </c>
      <c r="F2">
        <v>0</v>
      </c>
      <c r="G2">
        <v>0</v>
      </c>
      <c r="H2" t="s">
        <v>16</v>
      </c>
    </row>
    <row r="3" spans="1:13">
      <c r="A3">
        <v>634436</v>
      </c>
      <c r="B3" s="1">
        <v>8487</v>
      </c>
      <c r="C3">
        <v>43827.89</v>
      </c>
      <c r="D3">
        <v>84.4</v>
      </c>
      <c r="E3">
        <v>1</v>
      </c>
      <c r="F3">
        <v>0</v>
      </c>
      <c r="G3">
        <v>0</v>
      </c>
      <c r="H3" t="s">
        <v>16</v>
      </c>
    </row>
    <row r="4" spans="1:13">
      <c r="A4">
        <v>678722.06</v>
      </c>
      <c r="B4" s="1">
        <v>9113</v>
      </c>
      <c r="C4">
        <v>59921.75</v>
      </c>
      <c r="D4">
        <v>88</v>
      </c>
      <c r="E4">
        <v>1</v>
      </c>
      <c r="F4">
        <v>0</v>
      </c>
      <c r="G4">
        <v>0</v>
      </c>
      <c r="H4" t="s">
        <v>16</v>
      </c>
    </row>
    <row r="5" spans="1:13">
      <c r="A5">
        <v>658920.30000000005</v>
      </c>
      <c r="B5" s="1">
        <v>9431</v>
      </c>
      <c r="C5">
        <v>56856.63</v>
      </c>
      <c r="D5">
        <v>86.9</v>
      </c>
      <c r="E5">
        <v>1</v>
      </c>
      <c r="F5">
        <v>0</v>
      </c>
      <c r="G5">
        <v>0</v>
      </c>
      <c r="H5" t="s">
        <v>16</v>
      </c>
    </row>
    <row r="6" spans="1:13">
      <c r="A6">
        <v>741341.44</v>
      </c>
      <c r="B6" s="1">
        <v>9545</v>
      </c>
      <c r="C6">
        <v>48412.639999999999</v>
      </c>
      <c r="D6">
        <v>97.6</v>
      </c>
      <c r="E6">
        <v>0</v>
      </c>
      <c r="F6">
        <v>1</v>
      </c>
      <c r="G6">
        <v>0</v>
      </c>
      <c r="H6" t="s">
        <v>18</v>
      </c>
    </row>
    <row r="7" spans="1:13" ht="15.6">
      <c r="A7">
        <v>761835.34</v>
      </c>
      <c r="B7" s="1">
        <v>9792</v>
      </c>
      <c r="C7">
        <v>64811.21</v>
      </c>
      <c r="D7">
        <v>84.2</v>
      </c>
      <c r="E7">
        <v>0</v>
      </c>
      <c r="F7">
        <v>1</v>
      </c>
      <c r="G7">
        <v>0</v>
      </c>
      <c r="H7" t="s">
        <v>18</v>
      </c>
      <c r="L7" s="11" t="s">
        <v>138</v>
      </c>
      <c r="M7" s="11"/>
    </row>
    <row r="8" spans="1:13">
      <c r="A8">
        <v>806615.54</v>
      </c>
      <c r="B8" s="1">
        <v>10616</v>
      </c>
      <c r="C8">
        <v>46213.45</v>
      </c>
      <c r="D8">
        <v>85.2</v>
      </c>
      <c r="E8">
        <v>0</v>
      </c>
      <c r="F8">
        <v>1</v>
      </c>
      <c r="G8">
        <v>0</v>
      </c>
      <c r="H8" t="s">
        <v>18</v>
      </c>
    </row>
    <row r="9" spans="1:13">
      <c r="A9">
        <v>850164.26</v>
      </c>
      <c r="B9" s="1">
        <v>8567</v>
      </c>
      <c r="C9">
        <v>68148.52</v>
      </c>
      <c r="D9">
        <v>95.6</v>
      </c>
      <c r="E9">
        <v>0</v>
      </c>
      <c r="F9">
        <v>1</v>
      </c>
      <c r="G9">
        <v>0</v>
      </c>
      <c r="H9" t="s">
        <v>18</v>
      </c>
    </row>
    <row r="10" spans="1:13">
      <c r="A10">
        <v>930581.7</v>
      </c>
      <c r="B10" s="1">
        <v>10979</v>
      </c>
      <c r="C10">
        <v>71838.86</v>
      </c>
      <c r="D10">
        <v>88.6</v>
      </c>
      <c r="E10">
        <v>0</v>
      </c>
      <c r="F10">
        <v>0</v>
      </c>
      <c r="G10">
        <v>0</v>
      </c>
      <c r="H10" t="s">
        <v>21</v>
      </c>
    </row>
    <row r="11" spans="1:13">
      <c r="A11">
        <v>779010.94</v>
      </c>
      <c r="B11" s="1">
        <v>9459</v>
      </c>
      <c r="C11">
        <v>68133.440000000002</v>
      </c>
      <c r="D11">
        <v>85</v>
      </c>
      <c r="E11">
        <v>0</v>
      </c>
      <c r="F11">
        <v>0</v>
      </c>
      <c r="G11">
        <v>0</v>
      </c>
      <c r="H11" t="s">
        <v>21</v>
      </c>
      <c r="L11" t="s">
        <v>107</v>
      </c>
    </row>
    <row r="12" spans="1:13" ht="15" thickBot="1">
      <c r="A12">
        <v>723060.76</v>
      </c>
      <c r="B12" s="1">
        <v>9172</v>
      </c>
      <c r="C12">
        <v>34285.21</v>
      </c>
      <c r="D12">
        <v>88.3</v>
      </c>
      <c r="E12">
        <v>0</v>
      </c>
      <c r="F12">
        <v>0</v>
      </c>
      <c r="G12">
        <v>0</v>
      </c>
      <c r="H12" t="s">
        <v>21</v>
      </c>
    </row>
    <row r="13" spans="1:13">
      <c r="A13">
        <v>910791.94</v>
      </c>
      <c r="B13" s="1">
        <v>11230</v>
      </c>
      <c r="C13">
        <v>67979.88</v>
      </c>
      <c r="D13">
        <v>85.3</v>
      </c>
      <c r="E13">
        <v>0</v>
      </c>
      <c r="F13">
        <v>0</v>
      </c>
      <c r="G13">
        <v>0</v>
      </c>
      <c r="H13" t="s">
        <v>21</v>
      </c>
      <c r="L13" s="9" t="s">
        <v>108</v>
      </c>
      <c r="M13" s="9"/>
    </row>
    <row r="14" spans="1:13">
      <c r="A14">
        <v>922168.6</v>
      </c>
      <c r="B14" s="1">
        <v>12775</v>
      </c>
      <c r="C14">
        <v>71828.259999999995</v>
      </c>
      <c r="D14">
        <v>81.7</v>
      </c>
      <c r="E14">
        <v>1</v>
      </c>
      <c r="F14">
        <v>0</v>
      </c>
      <c r="G14">
        <v>0</v>
      </c>
      <c r="H14" t="s">
        <v>16</v>
      </c>
      <c r="L14" s="6" t="s">
        <v>109</v>
      </c>
      <c r="M14" s="6">
        <v>0.90549444529468492</v>
      </c>
    </row>
    <row r="15" spans="1:13">
      <c r="A15">
        <v>726606.28</v>
      </c>
      <c r="B15" s="1">
        <v>10054</v>
      </c>
      <c r="C15">
        <v>55716.82</v>
      </c>
      <c r="D15">
        <v>84.9</v>
      </c>
      <c r="E15">
        <v>1</v>
      </c>
      <c r="F15">
        <v>0</v>
      </c>
      <c r="G15">
        <v>0</v>
      </c>
      <c r="H15" t="s">
        <v>16</v>
      </c>
      <c r="L15" s="6" t="s">
        <v>110</v>
      </c>
      <c r="M15" s="6">
        <v>0.81992019045952924</v>
      </c>
    </row>
    <row r="16" spans="1:13">
      <c r="A16">
        <v>746501.09</v>
      </c>
      <c r="B16" s="1">
        <v>8895</v>
      </c>
      <c r="C16">
        <v>59909.51</v>
      </c>
      <c r="D16">
        <v>88.8</v>
      </c>
      <c r="E16">
        <v>1</v>
      </c>
      <c r="F16">
        <v>0</v>
      </c>
      <c r="G16">
        <v>0</v>
      </c>
      <c r="H16" t="s">
        <v>16</v>
      </c>
      <c r="L16" s="6" t="s">
        <v>111</v>
      </c>
      <c r="M16" s="6">
        <v>0.81646818133095789</v>
      </c>
    </row>
    <row r="17" spans="1:20">
      <c r="A17">
        <v>834017.02</v>
      </c>
      <c r="B17" s="1">
        <v>10940</v>
      </c>
      <c r="C17">
        <v>75305.710000000006</v>
      </c>
      <c r="D17">
        <v>76.5</v>
      </c>
      <c r="E17">
        <v>1</v>
      </c>
      <c r="F17">
        <v>0</v>
      </c>
      <c r="G17">
        <v>0</v>
      </c>
      <c r="H17" t="s">
        <v>16</v>
      </c>
      <c r="L17" s="6" t="s">
        <v>112</v>
      </c>
      <c r="M17" s="6">
        <v>44456.408280740507</v>
      </c>
    </row>
    <row r="18" spans="1:20" ht="15" thickBot="1">
      <c r="A18">
        <v>666152.52</v>
      </c>
      <c r="B18" s="1">
        <v>7057</v>
      </c>
      <c r="C18">
        <v>48804.22</v>
      </c>
      <c r="D18">
        <v>87.7</v>
      </c>
      <c r="E18">
        <v>1</v>
      </c>
      <c r="F18">
        <v>0</v>
      </c>
      <c r="G18">
        <v>0</v>
      </c>
      <c r="H18" t="s">
        <v>16</v>
      </c>
      <c r="L18" s="7" t="s">
        <v>113</v>
      </c>
      <c r="M18" s="7">
        <v>320</v>
      </c>
    </row>
    <row r="19" spans="1:20">
      <c r="A19">
        <v>573155.18999999994</v>
      </c>
      <c r="B19" s="1">
        <v>4263</v>
      </c>
      <c r="C19">
        <v>59117.9</v>
      </c>
      <c r="D19">
        <v>87.6</v>
      </c>
      <c r="E19">
        <v>1</v>
      </c>
      <c r="F19">
        <v>0</v>
      </c>
      <c r="G19">
        <v>0</v>
      </c>
      <c r="H19" t="s">
        <v>16</v>
      </c>
    </row>
    <row r="20" spans="1:20" ht="15" thickBot="1">
      <c r="A20">
        <v>666573.19999999995</v>
      </c>
      <c r="B20" s="1">
        <v>5538</v>
      </c>
      <c r="C20">
        <v>78831.12</v>
      </c>
      <c r="D20">
        <v>94.1</v>
      </c>
      <c r="E20">
        <v>1</v>
      </c>
      <c r="F20">
        <v>0</v>
      </c>
      <c r="G20">
        <v>0</v>
      </c>
      <c r="H20" t="s">
        <v>16</v>
      </c>
      <c r="L20" t="s">
        <v>114</v>
      </c>
    </row>
    <row r="21" spans="1:20">
      <c r="A21">
        <v>591619.94999999995</v>
      </c>
      <c r="B21" s="1">
        <v>4865</v>
      </c>
      <c r="C21">
        <v>41441.93</v>
      </c>
      <c r="D21">
        <v>88.3</v>
      </c>
      <c r="E21">
        <v>1</v>
      </c>
      <c r="F21">
        <v>0</v>
      </c>
      <c r="G21">
        <v>0</v>
      </c>
      <c r="H21" t="s">
        <v>16</v>
      </c>
      <c r="L21" s="8"/>
      <c r="M21" s="8" t="s">
        <v>119</v>
      </c>
      <c r="N21" s="8" t="s">
        <v>120</v>
      </c>
      <c r="O21" s="8" t="s">
        <v>121</v>
      </c>
      <c r="P21" s="8" t="s">
        <v>122</v>
      </c>
      <c r="Q21" s="8" t="s">
        <v>123</v>
      </c>
    </row>
    <row r="22" spans="1:20">
      <c r="A22">
        <v>415721.82</v>
      </c>
      <c r="B22" s="1">
        <v>2822</v>
      </c>
      <c r="C22">
        <v>30356.28</v>
      </c>
      <c r="D22">
        <v>84.8</v>
      </c>
      <c r="E22">
        <v>1</v>
      </c>
      <c r="F22">
        <v>0</v>
      </c>
      <c r="G22">
        <v>0</v>
      </c>
      <c r="H22" t="s">
        <v>16</v>
      </c>
      <c r="L22" s="6" t="s">
        <v>115</v>
      </c>
      <c r="M22" s="6">
        <v>6</v>
      </c>
      <c r="N22" s="6">
        <v>2816564106539.6606</v>
      </c>
      <c r="O22" s="6">
        <v>469427351089.94342</v>
      </c>
      <c r="P22" s="6">
        <v>237.51970516916569</v>
      </c>
      <c r="Q22" s="6">
        <v>2.5427886111374952E-113</v>
      </c>
    </row>
    <row r="23" spans="1:20">
      <c r="A23">
        <v>491905.13</v>
      </c>
      <c r="B23" s="1">
        <v>2121</v>
      </c>
      <c r="C23">
        <v>33518.879999999997</v>
      </c>
      <c r="D23">
        <v>88.5</v>
      </c>
      <c r="E23">
        <v>1</v>
      </c>
      <c r="F23">
        <v>0</v>
      </c>
      <c r="G23">
        <v>0</v>
      </c>
      <c r="H23" t="s">
        <v>16</v>
      </c>
      <c r="L23" s="6" t="s">
        <v>116</v>
      </c>
      <c r="M23" s="6">
        <v>313</v>
      </c>
      <c r="N23" s="6">
        <v>618604510251.07849</v>
      </c>
      <c r="O23" s="6">
        <v>1976372237.2238929</v>
      </c>
      <c r="P23" s="6"/>
      <c r="Q23" s="6"/>
    </row>
    <row r="24" spans="1:20" ht="15" thickBot="1">
      <c r="A24">
        <v>555929.4</v>
      </c>
      <c r="B24" s="1">
        <v>3364</v>
      </c>
      <c r="C24">
        <v>42267.37</v>
      </c>
      <c r="D24">
        <v>82</v>
      </c>
      <c r="E24">
        <v>1</v>
      </c>
      <c r="F24">
        <v>0</v>
      </c>
      <c r="G24">
        <v>0</v>
      </c>
      <c r="H24" t="s">
        <v>16</v>
      </c>
      <c r="L24" s="7" t="s">
        <v>117</v>
      </c>
      <c r="M24" s="7">
        <v>319</v>
      </c>
      <c r="N24" s="7">
        <v>3435168616790.7393</v>
      </c>
      <c r="O24" s="7"/>
      <c r="P24" s="7"/>
      <c r="Q24" s="7"/>
    </row>
    <row r="25" spans="1:20" ht="15" thickBot="1">
      <c r="A25">
        <v>565810.99</v>
      </c>
      <c r="B25" s="1">
        <v>2613</v>
      </c>
      <c r="C25">
        <v>62060.43</v>
      </c>
      <c r="D25">
        <v>92.1</v>
      </c>
      <c r="E25">
        <v>1</v>
      </c>
      <c r="F25">
        <v>0</v>
      </c>
      <c r="G25">
        <v>0</v>
      </c>
      <c r="H25" t="s">
        <v>16</v>
      </c>
    </row>
    <row r="26" spans="1:20">
      <c r="A26">
        <v>811771.14</v>
      </c>
      <c r="B26" s="1">
        <v>10218</v>
      </c>
      <c r="C26">
        <v>57696.69</v>
      </c>
      <c r="D26">
        <v>94.8</v>
      </c>
      <c r="E26">
        <v>0</v>
      </c>
      <c r="F26">
        <v>0</v>
      </c>
      <c r="G26">
        <v>1</v>
      </c>
      <c r="H26" t="s">
        <v>28</v>
      </c>
      <c r="L26" s="8"/>
      <c r="M26" s="8" t="s">
        <v>124</v>
      </c>
      <c r="N26" s="8" t="s">
        <v>112</v>
      </c>
      <c r="O26" s="8" t="s">
        <v>125</v>
      </c>
      <c r="P26" s="8" t="s">
        <v>126</v>
      </c>
      <c r="Q26" s="8" t="s">
        <v>127</v>
      </c>
      <c r="R26" s="8" t="s">
        <v>128</v>
      </c>
      <c r="S26" s="8" t="s">
        <v>129</v>
      </c>
      <c r="T26" s="8" t="s">
        <v>130</v>
      </c>
    </row>
    <row r="27" spans="1:20">
      <c r="A27">
        <v>800451.94</v>
      </c>
      <c r="B27" s="1">
        <v>8927</v>
      </c>
      <c r="C27">
        <v>172415.52</v>
      </c>
      <c r="D27">
        <v>86.2</v>
      </c>
      <c r="E27">
        <v>0</v>
      </c>
      <c r="F27">
        <v>0</v>
      </c>
      <c r="G27">
        <v>1</v>
      </c>
      <c r="H27" t="s">
        <v>28</v>
      </c>
      <c r="L27" s="6" t="s">
        <v>118</v>
      </c>
      <c r="M27" s="6">
        <v>146249.79634285273</v>
      </c>
      <c r="N27" s="6">
        <v>43076.930951305585</v>
      </c>
      <c r="O27" s="6">
        <v>3.3950839373439661</v>
      </c>
      <c r="P27" s="6">
        <v>7.7448153774391411E-4</v>
      </c>
      <c r="Q27" s="6">
        <v>61492.8323177415</v>
      </c>
      <c r="R27" s="6">
        <v>231006.76036796396</v>
      </c>
      <c r="S27" s="6">
        <v>61492.8323177415</v>
      </c>
      <c r="T27" s="6">
        <v>231006.76036796396</v>
      </c>
    </row>
    <row r="28" spans="1:20">
      <c r="A28">
        <v>783672.82</v>
      </c>
      <c r="B28" s="1">
        <v>9315</v>
      </c>
      <c r="C28">
        <v>55270.52</v>
      </c>
      <c r="D28">
        <v>91.9</v>
      </c>
      <c r="E28">
        <v>0</v>
      </c>
      <c r="F28">
        <v>0</v>
      </c>
      <c r="G28">
        <v>1</v>
      </c>
      <c r="H28" t="s">
        <v>28</v>
      </c>
      <c r="L28" s="6" t="s">
        <v>5</v>
      </c>
      <c r="M28" s="6">
        <v>33.683573802957817</v>
      </c>
      <c r="N28" s="6">
        <v>1.03334939438039</v>
      </c>
      <c r="O28" s="6">
        <v>32.596500260354759</v>
      </c>
      <c r="P28" s="6">
        <v>1.234562729826644E-102</v>
      </c>
      <c r="Q28" s="6">
        <v>31.650384448222351</v>
      </c>
      <c r="R28" s="6">
        <v>35.716763157693279</v>
      </c>
      <c r="S28" s="6">
        <v>31.650384448222351</v>
      </c>
      <c r="T28" s="6">
        <v>35.716763157693279</v>
      </c>
    </row>
    <row r="29" spans="1:20">
      <c r="A29">
        <v>701641.97</v>
      </c>
      <c r="B29" s="1">
        <v>7223</v>
      </c>
      <c r="C29">
        <v>52715.1</v>
      </c>
      <c r="D29">
        <v>84.2</v>
      </c>
      <c r="E29">
        <v>0</v>
      </c>
      <c r="F29">
        <v>0</v>
      </c>
      <c r="G29">
        <v>1</v>
      </c>
      <c r="H29" t="s">
        <v>28</v>
      </c>
      <c r="L29" s="6" t="s">
        <v>4</v>
      </c>
      <c r="M29" s="6">
        <v>1.1767034221970534</v>
      </c>
      <c r="N29" s="6">
        <v>0.12861872062921334</v>
      </c>
      <c r="O29" s="6">
        <v>9.1487725615720912</v>
      </c>
      <c r="P29" s="6">
        <v>7.5862124295373136E-18</v>
      </c>
      <c r="Q29" s="6">
        <v>0.92363682630495059</v>
      </c>
      <c r="R29" s="6">
        <v>1.4297700180891562</v>
      </c>
      <c r="S29" s="6">
        <v>0.92363682630495059</v>
      </c>
      <c r="T29" s="6">
        <v>1.4297700180891562</v>
      </c>
    </row>
    <row r="30" spans="1:20">
      <c r="A30">
        <v>511844.41</v>
      </c>
      <c r="B30" s="1">
        <v>3988</v>
      </c>
      <c r="C30">
        <v>68600.62</v>
      </c>
      <c r="D30">
        <v>85</v>
      </c>
      <c r="E30">
        <v>1</v>
      </c>
      <c r="F30">
        <v>0</v>
      </c>
      <c r="G30">
        <v>0</v>
      </c>
      <c r="H30" t="s">
        <v>16</v>
      </c>
      <c r="L30" s="6" t="s">
        <v>8</v>
      </c>
      <c r="M30" s="6">
        <v>3062.9340073125054</v>
      </c>
      <c r="N30" s="6">
        <v>466.172368359264</v>
      </c>
      <c r="O30" s="6">
        <v>6.5703894421987723</v>
      </c>
      <c r="P30" s="6">
        <v>2.0935833735643541E-10</v>
      </c>
      <c r="Q30" s="6">
        <v>2145.7062990713844</v>
      </c>
      <c r="R30" s="6">
        <v>3980.1617155536264</v>
      </c>
      <c r="S30" s="6">
        <v>2145.7062990713844</v>
      </c>
      <c r="T30" s="6">
        <v>3980.1617155536264</v>
      </c>
    </row>
    <row r="31" spans="1:20">
      <c r="A31">
        <v>537383.79</v>
      </c>
      <c r="B31" s="1">
        <v>2390</v>
      </c>
      <c r="C31">
        <v>63176.73</v>
      </c>
      <c r="D31">
        <v>87.5</v>
      </c>
      <c r="E31">
        <v>1</v>
      </c>
      <c r="F31">
        <v>0</v>
      </c>
      <c r="G31">
        <v>0</v>
      </c>
      <c r="H31" t="s">
        <v>16</v>
      </c>
      <c r="L31" s="6" t="s">
        <v>137</v>
      </c>
      <c r="M31" s="6">
        <v>-39654.573122213769</v>
      </c>
      <c r="N31" s="6">
        <v>9515.8653235436032</v>
      </c>
      <c r="O31" s="6">
        <v>-4.167206215508612</v>
      </c>
      <c r="P31" s="6">
        <v>3.9942315338064686E-5</v>
      </c>
      <c r="Q31" s="6">
        <v>-58377.723474013474</v>
      </c>
      <c r="R31" s="6">
        <v>-20931.422770414069</v>
      </c>
      <c r="S31" s="6">
        <v>-58377.723474013474</v>
      </c>
      <c r="T31" s="6">
        <v>-20931.422770414069</v>
      </c>
    </row>
    <row r="32" spans="1:20">
      <c r="A32">
        <v>500173.02</v>
      </c>
      <c r="B32" s="1">
        <v>2471</v>
      </c>
      <c r="C32">
        <v>44970.080000000002</v>
      </c>
      <c r="D32">
        <v>87.6</v>
      </c>
      <c r="E32">
        <v>1</v>
      </c>
      <c r="F32">
        <v>0</v>
      </c>
      <c r="G32">
        <v>0</v>
      </c>
      <c r="H32" t="s">
        <v>16</v>
      </c>
      <c r="L32" s="6" t="s">
        <v>105</v>
      </c>
      <c r="M32" s="6">
        <v>-22957.902758486158</v>
      </c>
      <c r="N32" s="6">
        <v>9402.6803205135238</v>
      </c>
      <c r="O32" s="6">
        <v>-2.4416338720353647</v>
      </c>
      <c r="P32" s="6">
        <v>1.5174435215816415E-2</v>
      </c>
      <c r="Q32" s="6">
        <v>-41458.353465298453</v>
      </c>
      <c r="R32" s="6">
        <v>-4457.4520516738594</v>
      </c>
      <c r="S32" s="6">
        <v>-41458.353465298453</v>
      </c>
      <c r="T32" s="6">
        <v>-4457.4520516738594</v>
      </c>
    </row>
    <row r="33" spans="1:20" ht="15" thickBot="1">
      <c r="A33">
        <v>427917.38</v>
      </c>
      <c r="B33" s="1">
        <v>971</v>
      </c>
      <c r="C33">
        <v>69816.350000000006</v>
      </c>
      <c r="D33">
        <v>89.9</v>
      </c>
      <c r="E33">
        <v>1</v>
      </c>
      <c r="F33">
        <v>0</v>
      </c>
      <c r="G33">
        <v>0</v>
      </c>
      <c r="H33" t="s">
        <v>16</v>
      </c>
      <c r="L33" s="7" t="s">
        <v>106</v>
      </c>
      <c r="M33" s="7">
        <v>-11306.625020393876</v>
      </c>
      <c r="N33" s="7">
        <v>9831.9762350293367</v>
      </c>
      <c r="O33" s="7">
        <v>-1.1499849826844235</v>
      </c>
      <c r="P33" s="7">
        <v>0.25102793797132994</v>
      </c>
      <c r="Q33" s="7">
        <v>-30651.746356687061</v>
      </c>
      <c r="R33" s="7">
        <v>8038.4963158993087</v>
      </c>
      <c r="S33" s="7">
        <v>-30651.746356687061</v>
      </c>
      <c r="T33" s="7">
        <v>8038.4963158993087</v>
      </c>
    </row>
    <row r="34" spans="1:20">
      <c r="A34">
        <v>641865.03</v>
      </c>
      <c r="B34" s="1">
        <v>9429</v>
      </c>
      <c r="C34">
        <v>54597.83</v>
      </c>
      <c r="D34">
        <v>83.3</v>
      </c>
      <c r="E34">
        <v>1</v>
      </c>
      <c r="F34">
        <v>0</v>
      </c>
      <c r="G34">
        <v>0</v>
      </c>
      <c r="H34" t="s">
        <v>16</v>
      </c>
    </row>
    <row r="35" spans="1:20">
      <c r="A35">
        <v>799477.76000000001</v>
      </c>
      <c r="B35" s="1">
        <v>11695</v>
      </c>
      <c r="C35">
        <v>73771.91</v>
      </c>
      <c r="D35">
        <v>84.7</v>
      </c>
      <c r="E35">
        <v>1</v>
      </c>
      <c r="F35">
        <v>0</v>
      </c>
      <c r="G35">
        <v>0</v>
      </c>
      <c r="H35" t="s">
        <v>16</v>
      </c>
    </row>
    <row r="36" spans="1:20">
      <c r="A36">
        <v>798952.17</v>
      </c>
      <c r="B36" s="1">
        <v>9449</v>
      </c>
      <c r="C36">
        <v>74413.88</v>
      </c>
      <c r="D36">
        <v>92.1</v>
      </c>
      <c r="E36">
        <v>1</v>
      </c>
      <c r="F36">
        <v>0</v>
      </c>
      <c r="G36">
        <v>0</v>
      </c>
      <c r="H36" t="s">
        <v>16</v>
      </c>
    </row>
    <row r="37" spans="1:20">
      <c r="A37">
        <v>800979.78</v>
      </c>
      <c r="B37" s="1">
        <v>10453</v>
      </c>
      <c r="C37">
        <v>52483.77</v>
      </c>
      <c r="D37">
        <v>99</v>
      </c>
      <c r="E37">
        <v>1</v>
      </c>
      <c r="F37">
        <v>0</v>
      </c>
      <c r="G37">
        <v>0</v>
      </c>
      <c r="H37" t="s">
        <v>16</v>
      </c>
      <c r="L37" t="s">
        <v>131</v>
      </c>
    </row>
    <row r="38" spans="1:20" ht="15" thickBot="1">
      <c r="A38">
        <v>820593.93</v>
      </c>
      <c r="B38" s="1">
        <v>8838</v>
      </c>
      <c r="C38">
        <v>75269.87</v>
      </c>
      <c r="D38">
        <v>83.1</v>
      </c>
      <c r="E38">
        <v>0</v>
      </c>
      <c r="F38">
        <v>0</v>
      </c>
      <c r="G38">
        <v>1</v>
      </c>
      <c r="H38" t="s">
        <v>28</v>
      </c>
    </row>
    <row r="39" spans="1:20">
      <c r="A39">
        <v>718330.53</v>
      </c>
      <c r="B39" s="1">
        <v>8156</v>
      </c>
      <c r="C39">
        <v>61245.41</v>
      </c>
      <c r="D39">
        <v>92.9</v>
      </c>
      <c r="E39">
        <v>0</v>
      </c>
      <c r="F39">
        <v>0</v>
      </c>
      <c r="G39">
        <v>1</v>
      </c>
      <c r="H39" t="s">
        <v>28</v>
      </c>
      <c r="L39" s="8" t="s">
        <v>132</v>
      </c>
      <c r="M39" s="8" t="s">
        <v>133</v>
      </c>
      <c r="N39" s="8" t="s">
        <v>134</v>
      </c>
    </row>
    <row r="40" spans="1:20">
      <c r="A40">
        <v>736633.4</v>
      </c>
      <c r="B40" s="1">
        <v>7562</v>
      </c>
      <c r="C40">
        <v>93381.26</v>
      </c>
      <c r="D40">
        <v>82.9</v>
      </c>
      <c r="E40">
        <v>0</v>
      </c>
      <c r="F40">
        <v>0</v>
      </c>
      <c r="G40">
        <v>1</v>
      </c>
      <c r="H40" t="s">
        <v>28</v>
      </c>
      <c r="L40" s="6">
        <v>1</v>
      </c>
      <c r="M40" s="6">
        <v>698783.41010363749</v>
      </c>
      <c r="N40" s="6">
        <v>-39950.790103637497</v>
      </c>
    </row>
    <row r="41" spans="1:20">
      <c r="A41">
        <v>828623.85</v>
      </c>
      <c r="B41" s="1">
        <v>9598</v>
      </c>
      <c r="C41">
        <v>65012.19</v>
      </c>
      <c r="D41">
        <v>98.3</v>
      </c>
      <c r="E41">
        <v>0</v>
      </c>
      <c r="F41">
        <v>0</v>
      </c>
      <c r="G41">
        <v>1</v>
      </c>
      <c r="H41" t="s">
        <v>28</v>
      </c>
      <c r="L41" s="6">
        <v>2</v>
      </c>
      <c r="M41" s="6">
        <v>702551.77245419333</v>
      </c>
      <c r="N41" s="6">
        <v>-68115.772454193328</v>
      </c>
    </row>
    <row r="42" spans="1:20">
      <c r="A42">
        <v>592195.85</v>
      </c>
      <c r="B42" s="1">
        <v>3660</v>
      </c>
      <c r="C42">
        <v>40462.94</v>
      </c>
      <c r="D42">
        <v>95.2</v>
      </c>
      <c r="E42">
        <v>0</v>
      </c>
      <c r="F42">
        <v>0</v>
      </c>
      <c r="G42">
        <v>1</v>
      </c>
      <c r="H42" t="s">
        <v>28</v>
      </c>
      <c r="L42" s="6">
        <v>3</v>
      </c>
      <c r="M42" s="6">
        <v>753601.95221953024</v>
      </c>
      <c r="N42" s="6">
        <v>-74879.892219530186</v>
      </c>
    </row>
    <row r="43" spans="1:20">
      <c r="A43">
        <v>532644.46</v>
      </c>
      <c r="B43" s="1">
        <v>3227</v>
      </c>
      <c r="C43">
        <v>46123.88</v>
      </c>
      <c r="D43">
        <v>75.400000000000006</v>
      </c>
      <c r="E43">
        <v>0</v>
      </c>
      <c r="F43">
        <v>0</v>
      </c>
      <c r="G43">
        <v>1</v>
      </c>
      <c r="H43" t="s">
        <v>28</v>
      </c>
      <c r="L43" s="6">
        <v>4</v>
      </c>
      <c r="M43" s="6">
        <v>757337.36408738256</v>
      </c>
      <c r="N43" s="6">
        <v>-98417.064087382518</v>
      </c>
    </row>
    <row r="44" spans="1:20">
      <c r="A44">
        <v>657429.18000000005</v>
      </c>
      <c r="B44" s="1">
        <v>3360</v>
      </c>
      <c r="C44">
        <v>68077.539999999994</v>
      </c>
      <c r="D44">
        <v>88.2</v>
      </c>
      <c r="E44">
        <v>0</v>
      </c>
      <c r="F44">
        <v>0</v>
      </c>
      <c r="G44">
        <v>1</v>
      </c>
      <c r="H44" t="s">
        <v>28</v>
      </c>
      <c r="L44" s="6">
        <v>5</v>
      </c>
      <c r="M44" s="6">
        <v>800711.28381289355</v>
      </c>
      <c r="N44" s="6">
        <v>-59369.84381289361</v>
      </c>
    </row>
    <row r="45" spans="1:20">
      <c r="A45">
        <v>605178</v>
      </c>
      <c r="B45" s="1">
        <v>3642</v>
      </c>
      <c r="C45">
        <v>64882.14</v>
      </c>
      <c r="D45">
        <v>87.8</v>
      </c>
      <c r="E45">
        <v>0</v>
      </c>
      <c r="F45">
        <v>0</v>
      </c>
      <c r="G45">
        <v>1</v>
      </c>
      <c r="H45" t="s">
        <v>28</v>
      </c>
      <c r="L45" s="6">
        <v>6</v>
      </c>
      <c r="M45" s="6">
        <v>787284.06428237446</v>
      </c>
      <c r="N45" s="6">
        <v>-25448.724282374489</v>
      </c>
    </row>
    <row r="46" spans="1:20">
      <c r="A46">
        <v>595467.6</v>
      </c>
      <c r="B46" s="1">
        <v>5145</v>
      </c>
      <c r="C46">
        <v>138855.51</v>
      </c>
      <c r="D46">
        <v>88.2</v>
      </c>
      <c r="E46">
        <v>1</v>
      </c>
      <c r="F46">
        <v>0</v>
      </c>
      <c r="G46">
        <v>0</v>
      </c>
      <c r="H46" t="s">
        <v>16</v>
      </c>
      <c r="L46" s="6">
        <v>7</v>
      </c>
      <c r="M46" s="6">
        <v>796218.21526612481</v>
      </c>
      <c r="N46" s="6">
        <v>10397.324733875226</v>
      </c>
    </row>
    <row r="47" spans="1:20">
      <c r="A47">
        <v>599603.4</v>
      </c>
      <c r="B47" s="1">
        <v>4460</v>
      </c>
      <c r="C47">
        <v>63630.21</v>
      </c>
      <c r="D47">
        <v>98.6</v>
      </c>
      <c r="E47">
        <v>1</v>
      </c>
      <c r="F47">
        <v>0</v>
      </c>
      <c r="G47">
        <v>0</v>
      </c>
      <c r="H47" t="s">
        <v>16</v>
      </c>
      <c r="L47" s="6">
        <v>8</v>
      </c>
      <c r="M47" s="6">
        <v>784866.15815504605</v>
      </c>
      <c r="N47" s="6">
        <v>65298.101844953955</v>
      </c>
    </row>
    <row r="48" spans="1:20">
      <c r="A48">
        <v>614800.09</v>
      </c>
      <c r="B48" s="1">
        <v>3804</v>
      </c>
      <c r="C48">
        <v>50043.65</v>
      </c>
      <c r="D48">
        <v>90.9</v>
      </c>
      <c r="E48">
        <v>1</v>
      </c>
      <c r="F48">
        <v>0</v>
      </c>
      <c r="G48">
        <v>0</v>
      </c>
      <c r="H48" t="s">
        <v>16</v>
      </c>
      <c r="L48" s="6">
        <v>9</v>
      </c>
      <c r="M48" s="6">
        <v>871970.73858214961</v>
      </c>
      <c r="N48" s="6">
        <v>58610.96141785034</v>
      </c>
    </row>
    <row r="49" spans="1:14">
      <c r="A49">
        <v>585365.73</v>
      </c>
      <c r="B49" s="1">
        <v>4074</v>
      </c>
      <c r="C49">
        <v>42093.84</v>
      </c>
      <c r="D49">
        <v>88</v>
      </c>
      <c r="E49">
        <v>1</v>
      </c>
      <c r="F49">
        <v>0</v>
      </c>
      <c r="G49">
        <v>0</v>
      </c>
      <c r="H49" t="s">
        <v>16</v>
      </c>
      <c r="L49" s="6">
        <v>10</v>
      </c>
      <c r="M49" s="6">
        <v>805384.96358065121</v>
      </c>
      <c r="N49" s="6">
        <v>-26374.023580651265</v>
      </c>
    </row>
    <row r="50" spans="1:14">
      <c r="A50">
        <v>622811.74</v>
      </c>
      <c r="B50" s="1">
        <v>5104</v>
      </c>
      <c r="C50">
        <v>46624.05</v>
      </c>
      <c r="D50">
        <v>97.3</v>
      </c>
      <c r="E50">
        <v>0</v>
      </c>
      <c r="F50">
        <v>0</v>
      </c>
      <c r="G50">
        <v>1</v>
      </c>
      <c r="H50" t="s">
        <v>28</v>
      </c>
      <c r="L50" s="6">
        <v>11</v>
      </c>
      <c r="M50" s="6">
        <v>765996.1320470206</v>
      </c>
      <c r="N50" s="6">
        <v>-42935.372047020588</v>
      </c>
    </row>
    <row r="51" spans="1:14">
      <c r="A51">
        <v>603297.56999999995</v>
      </c>
      <c r="B51" s="1">
        <v>5559</v>
      </c>
      <c r="C51">
        <v>49710.29</v>
      </c>
      <c r="D51">
        <v>71</v>
      </c>
      <c r="E51">
        <v>0</v>
      </c>
      <c r="F51">
        <v>0</v>
      </c>
      <c r="G51">
        <v>1</v>
      </c>
      <c r="H51" t="s">
        <v>28</v>
      </c>
      <c r="L51" s="6">
        <v>12</v>
      </c>
      <c r="M51" s="6">
        <v>865776.75841037068</v>
      </c>
      <c r="N51" s="6">
        <v>45015.181589629268</v>
      </c>
    </row>
    <row r="52" spans="1:14">
      <c r="A52">
        <v>625672.86</v>
      </c>
      <c r="B52" s="1">
        <v>5150</v>
      </c>
      <c r="C52">
        <v>48287.85</v>
      </c>
      <c r="D52">
        <v>80.400000000000006</v>
      </c>
      <c r="E52">
        <v>0</v>
      </c>
      <c r="F52">
        <v>0</v>
      </c>
      <c r="G52">
        <v>1</v>
      </c>
      <c r="H52" t="s">
        <v>28</v>
      </c>
      <c r="L52" s="6">
        <v>13</v>
      </c>
      <c r="M52" s="6">
        <v>871665.14630331635</v>
      </c>
      <c r="N52" s="6">
        <v>50503.453696683631</v>
      </c>
    </row>
    <row r="53" spans="1:14">
      <c r="A53">
        <v>773815.14</v>
      </c>
      <c r="B53" s="1">
        <v>7189</v>
      </c>
      <c r="C53">
        <v>65312.49</v>
      </c>
      <c r="D53">
        <v>93.7</v>
      </c>
      <c r="E53">
        <v>0</v>
      </c>
      <c r="F53">
        <v>0</v>
      </c>
      <c r="G53">
        <v>1</v>
      </c>
      <c r="H53" t="s">
        <v>28</v>
      </c>
      <c r="L53" s="6">
        <v>14</v>
      </c>
      <c r="M53" s="6">
        <v>770855.14422434568</v>
      </c>
      <c r="N53" s="6">
        <v>-44248.864224345656</v>
      </c>
    </row>
    <row r="54" spans="1:14">
      <c r="A54">
        <v>463534.25</v>
      </c>
      <c r="B54" s="1">
        <v>3279</v>
      </c>
      <c r="C54">
        <v>53015.46</v>
      </c>
      <c r="D54">
        <v>84.3</v>
      </c>
      <c r="E54">
        <v>0</v>
      </c>
      <c r="F54">
        <v>1</v>
      </c>
      <c r="G54">
        <v>0</v>
      </c>
      <c r="H54" t="s">
        <v>18</v>
      </c>
      <c r="L54" s="6">
        <v>15</v>
      </c>
      <c r="M54" s="6">
        <v>748694.8774864478</v>
      </c>
      <c r="N54" s="6">
        <v>-2193.7874864478363</v>
      </c>
    </row>
    <row r="55" spans="1:14">
      <c r="A55">
        <v>746677.75</v>
      </c>
      <c r="B55" s="1">
        <v>5887</v>
      </c>
      <c r="C55">
        <v>99874.01</v>
      </c>
      <c r="D55">
        <v>88.7</v>
      </c>
      <c r="E55">
        <v>0</v>
      </c>
      <c r="F55">
        <v>1</v>
      </c>
      <c r="G55">
        <v>0</v>
      </c>
      <c r="H55" t="s">
        <v>18</v>
      </c>
      <c r="L55" s="6">
        <v>16</v>
      </c>
      <c r="M55" s="6">
        <v>798020.45885238308</v>
      </c>
      <c r="N55" s="6">
        <v>35996.561147616943</v>
      </c>
    </row>
    <row r="56" spans="1:14">
      <c r="A56">
        <v>720852.5</v>
      </c>
      <c r="B56" s="1">
        <v>5516</v>
      </c>
      <c r="C56">
        <v>81195.5</v>
      </c>
      <c r="D56">
        <v>88</v>
      </c>
      <c r="E56">
        <v>0</v>
      </c>
      <c r="F56">
        <v>1</v>
      </c>
      <c r="G56">
        <v>0</v>
      </c>
      <c r="H56" t="s">
        <v>18</v>
      </c>
      <c r="L56" s="6">
        <v>17</v>
      </c>
      <c r="M56" s="6">
        <v>670347.6086810769</v>
      </c>
      <c r="N56" s="6">
        <v>-4195.0886810768861</v>
      </c>
    </row>
    <row r="57" spans="1:14">
      <c r="A57">
        <v>487464.91</v>
      </c>
      <c r="B57" s="1">
        <v>2863</v>
      </c>
      <c r="C57">
        <v>27808.6</v>
      </c>
      <c r="D57">
        <v>89.3</v>
      </c>
      <c r="E57">
        <v>0</v>
      </c>
      <c r="F57">
        <v>1</v>
      </c>
      <c r="G57">
        <v>0</v>
      </c>
      <c r="H57" t="s">
        <v>18</v>
      </c>
      <c r="L57" s="6">
        <v>18</v>
      </c>
      <c r="M57" s="6">
        <v>588065.55262632668</v>
      </c>
      <c r="N57" s="6">
        <v>-14910.362626326736</v>
      </c>
    </row>
    <row r="58" spans="1:14">
      <c r="A58">
        <v>518049.26</v>
      </c>
      <c r="B58" s="1">
        <v>2378</v>
      </c>
      <c r="C58">
        <v>19365.060000000001</v>
      </c>
      <c r="D58">
        <v>94.8</v>
      </c>
      <c r="E58">
        <v>0</v>
      </c>
      <c r="F58">
        <v>0</v>
      </c>
      <c r="G58">
        <v>0</v>
      </c>
      <c r="H58" t="s">
        <v>21</v>
      </c>
      <c r="L58" s="6">
        <v>19</v>
      </c>
      <c r="M58" s="6">
        <v>674117.79370915261</v>
      </c>
      <c r="N58" s="6">
        <v>-7544.5937091526575</v>
      </c>
    </row>
    <row r="59" spans="1:14">
      <c r="A59">
        <v>500298.48</v>
      </c>
      <c r="B59" s="1">
        <v>2515</v>
      </c>
      <c r="C59">
        <v>59405.68</v>
      </c>
      <c r="D59">
        <v>76</v>
      </c>
      <c r="E59">
        <v>0</v>
      </c>
      <c r="F59">
        <v>0</v>
      </c>
      <c r="G59">
        <v>0</v>
      </c>
      <c r="H59" t="s">
        <v>21</v>
      </c>
      <c r="L59" s="6">
        <v>20</v>
      </c>
      <c r="M59" s="6">
        <v>589687.74347117357</v>
      </c>
      <c r="N59" s="6">
        <v>1932.2065288263839</v>
      </c>
    </row>
    <row r="60" spans="1:14">
      <c r="A60">
        <v>617291.15</v>
      </c>
      <c r="B60" s="1">
        <v>4022</v>
      </c>
      <c r="C60">
        <v>118910.48</v>
      </c>
      <c r="D60">
        <v>87.1</v>
      </c>
      <c r="E60">
        <v>0</v>
      </c>
      <c r="F60">
        <v>0</v>
      </c>
      <c r="G60">
        <v>0</v>
      </c>
      <c r="H60" t="s">
        <v>21</v>
      </c>
      <c r="L60" s="6">
        <v>21</v>
      </c>
      <c r="M60" s="6">
        <v>497107.41087385832</v>
      </c>
      <c r="N60" s="6">
        <v>-81385.590873858309</v>
      </c>
    </row>
    <row r="61" spans="1:14">
      <c r="A61">
        <v>553756.43000000005</v>
      </c>
      <c r="B61" s="1">
        <v>4377</v>
      </c>
      <c r="C61">
        <v>52952.12</v>
      </c>
      <c r="D61">
        <v>88.6</v>
      </c>
      <c r="E61">
        <v>0</v>
      </c>
      <c r="F61">
        <v>0</v>
      </c>
      <c r="G61">
        <v>0</v>
      </c>
      <c r="H61" t="s">
        <v>21</v>
      </c>
      <c r="L61" s="6">
        <v>22</v>
      </c>
      <c r="M61" s="6">
        <v>488549.52370808163</v>
      </c>
      <c r="N61" s="6">
        <v>3355.6062919183751</v>
      </c>
    </row>
    <row r="62" spans="1:14">
      <c r="A62">
        <v>749559.71</v>
      </c>
      <c r="B62" s="1">
        <v>5306</v>
      </c>
      <c r="C62">
        <v>74907.98</v>
      </c>
      <c r="D62">
        <v>95.6</v>
      </c>
      <c r="E62">
        <v>0</v>
      </c>
      <c r="F62">
        <v>1</v>
      </c>
      <c r="G62">
        <v>0</v>
      </c>
      <c r="H62" t="s">
        <v>18</v>
      </c>
      <c r="L62" s="6">
        <v>23</v>
      </c>
      <c r="M62" s="6">
        <v>520803.5130196836</v>
      </c>
      <c r="N62" s="6">
        <v>35125.886980316427</v>
      </c>
    </row>
    <row r="63" spans="1:14">
      <c r="A63">
        <v>615966.48</v>
      </c>
      <c r="B63" s="1">
        <v>3928</v>
      </c>
      <c r="C63">
        <v>37284.660000000003</v>
      </c>
      <c r="D63">
        <v>86.5</v>
      </c>
      <c r="E63">
        <v>0</v>
      </c>
      <c r="F63">
        <v>1</v>
      </c>
      <c r="G63">
        <v>0</v>
      </c>
      <c r="H63" t="s">
        <v>18</v>
      </c>
      <c r="L63" s="6">
        <v>24</v>
      </c>
      <c r="M63" s="6">
        <v>549733.34400527016</v>
      </c>
      <c r="N63" s="6">
        <v>16077.645994729828</v>
      </c>
    </row>
    <row r="64" spans="1:14">
      <c r="A64">
        <v>572011.19999999995</v>
      </c>
      <c r="B64" s="1">
        <v>3845</v>
      </c>
      <c r="C64">
        <v>50343.19</v>
      </c>
      <c r="D64">
        <v>88.7</v>
      </c>
      <c r="E64">
        <v>0</v>
      </c>
      <c r="F64">
        <v>1</v>
      </c>
      <c r="G64">
        <v>0</v>
      </c>
      <c r="H64" t="s">
        <v>18</v>
      </c>
      <c r="L64" s="6">
        <v>25</v>
      </c>
      <c r="M64" s="6">
        <v>837379.96490674978</v>
      </c>
      <c r="N64" s="6">
        <v>-25608.824906749767</v>
      </c>
    </row>
    <row r="65" spans="1:14">
      <c r="A65">
        <v>761860.19</v>
      </c>
      <c r="B65" s="1">
        <v>6620</v>
      </c>
      <c r="C65">
        <v>74954.47</v>
      </c>
      <c r="D65">
        <v>91.1</v>
      </c>
      <c r="E65">
        <v>0</v>
      </c>
      <c r="F65">
        <v>1</v>
      </c>
      <c r="G65">
        <v>0</v>
      </c>
      <c r="H65" t="s">
        <v>18</v>
      </c>
      <c r="L65" s="6">
        <v>26</v>
      </c>
      <c r="M65" s="6">
        <v>902543.27851568582</v>
      </c>
      <c r="N65" s="6">
        <v>-102091.33851568587</v>
      </c>
    </row>
    <row r="66" spans="1:14">
      <c r="A66">
        <v>784502.68</v>
      </c>
      <c r="B66" s="1">
        <v>9175</v>
      </c>
      <c r="C66">
        <v>70040.31</v>
      </c>
      <c r="D66">
        <v>95.1</v>
      </c>
      <c r="E66">
        <v>0</v>
      </c>
      <c r="F66">
        <v>1</v>
      </c>
      <c r="G66">
        <v>0</v>
      </c>
      <c r="H66" t="s">
        <v>18</v>
      </c>
      <c r="L66" s="6">
        <v>27</v>
      </c>
      <c r="M66" s="6">
        <v>795226.30659964099</v>
      </c>
      <c r="N66" s="6">
        <v>-11553.486599641037</v>
      </c>
    </row>
    <row r="67" spans="1:14">
      <c r="A67">
        <v>717141.55</v>
      </c>
      <c r="B67" s="1">
        <v>7940</v>
      </c>
      <c r="C67">
        <v>51148.69</v>
      </c>
      <c r="D67">
        <v>93.3</v>
      </c>
      <c r="E67">
        <v>0</v>
      </c>
      <c r="F67">
        <v>1</v>
      </c>
      <c r="G67">
        <v>0</v>
      </c>
      <c r="H67" t="s">
        <v>18</v>
      </c>
      <c r="L67" s="6">
        <v>28</v>
      </c>
      <c r="M67" s="6">
        <v>698168.70688839606</v>
      </c>
      <c r="N67" s="6">
        <v>3473.263111603912</v>
      </c>
    </row>
    <row r="68" spans="1:14">
      <c r="A68">
        <v>685379.08</v>
      </c>
      <c r="B68" s="1">
        <v>9628</v>
      </c>
      <c r="C68">
        <v>79346.100000000006</v>
      </c>
      <c r="D68">
        <v>99</v>
      </c>
      <c r="E68">
        <v>0</v>
      </c>
      <c r="F68">
        <v>1</v>
      </c>
      <c r="G68">
        <v>0</v>
      </c>
      <c r="H68" t="s">
        <v>18</v>
      </c>
      <c r="L68" s="6">
        <v>29</v>
      </c>
      <c r="M68" s="6">
        <v>581997.29048723727</v>
      </c>
      <c r="N68" s="6">
        <v>-70152.8804872373</v>
      </c>
    </row>
    <row r="69" spans="1:14">
      <c r="A69">
        <v>740496.65</v>
      </c>
      <c r="B69" s="1">
        <v>8296</v>
      </c>
      <c r="C69">
        <v>42018.400000000001</v>
      </c>
      <c r="D69">
        <v>91.8</v>
      </c>
      <c r="E69">
        <v>0</v>
      </c>
      <c r="F69">
        <v>1</v>
      </c>
      <c r="G69">
        <v>0</v>
      </c>
      <c r="H69" t="s">
        <v>18</v>
      </c>
      <c r="L69" s="6">
        <v>30</v>
      </c>
      <c r="M69" s="6">
        <v>529445.96464377153</v>
      </c>
      <c r="N69" s="6">
        <v>7937.8253562285099</v>
      </c>
    </row>
    <row r="70" spans="1:14">
      <c r="A70">
        <v>661927.14</v>
      </c>
      <c r="B70" s="1">
        <v>3595</v>
      </c>
      <c r="C70">
        <v>70937.240000000005</v>
      </c>
      <c r="D70">
        <v>88.9</v>
      </c>
      <c r="E70">
        <v>0</v>
      </c>
      <c r="F70">
        <v>1</v>
      </c>
      <c r="G70">
        <v>0</v>
      </c>
      <c r="H70" t="s">
        <v>18</v>
      </c>
      <c r="L70" s="6">
        <v>31</v>
      </c>
      <c r="M70" s="6">
        <v>511056.80016079854</v>
      </c>
      <c r="N70" s="6">
        <v>-10883.780160798517</v>
      </c>
    </row>
    <row r="71" spans="1:14">
      <c r="A71">
        <v>479050.5</v>
      </c>
      <c r="B71" s="1">
        <v>2834</v>
      </c>
      <c r="C71">
        <v>36813.449999999997</v>
      </c>
      <c r="D71">
        <v>81.8</v>
      </c>
      <c r="E71">
        <v>0</v>
      </c>
      <c r="F71">
        <v>1</v>
      </c>
      <c r="G71">
        <v>0</v>
      </c>
      <c r="H71" t="s">
        <v>18</v>
      </c>
      <c r="L71" s="6">
        <v>32</v>
      </c>
      <c r="M71" s="6">
        <v>496812.87861101254</v>
      </c>
      <c r="N71" s="6">
        <v>-68895.498611012532</v>
      </c>
    </row>
    <row r="72" spans="1:14">
      <c r="A72">
        <v>605023.87</v>
      </c>
      <c r="B72" s="1">
        <v>3193</v>
      </c>
      <c r="C72">
        <v>60571.82</v>
      </c>
      <c r="D72">
        <v>99</v>
      </c>
      <c r="E72">
        <v>0</v>
      </c>
      <c r="F72">
        <v>1</v>
      </c>
      <c r="G72">
        <v>0</v>
      </c>
      <c r="H72" t="s">
        <v>18</v>
      </c>
      <c r="L72" s="6">
        <v>33</v>
      </c>
      <c r="M72" s="6">
        <v>743585.49682339281</v>
      </c>
      <c r="N72" s="6">
        <v>-101720.46682339278</v>
      </c>
    </row>
    <row r="73" spans="1:14">
      <c r="A73">
        <v>674774.09</v>
      </c>
      <c r="B73" s="1">
        <v>5485</v>
      </c>
      <c r="C73">
        <v>55081.16</v>
      </c>
      <c r="D73">
        <v>88</v>
      </c>
      <c r="E73">
        <v>0</v>
      </c>
      <c r="F73">
        <v>1</v>
      </c>
      <c r="G73">
        <v>0</v>
      </c>
      <c r="H73" t="s">
        <v>18</v>
      </c>
      <c r="L73" s="6">
        <v>34</v>
      </c>
      <c r="M73" s="6">
        <v>846762.78822461283</v>
      </c>
      <c r="N73" s="6">
        <v>-47285.028224612819</v>
      </c>
    </row>
    <row r="74" spans="1:14">
      <c r="A74">
        <v>616069.41</v>
      </c>
      <c r="B74" s="1">
        <v>5918</v>
      </c>
      <c r="C74">
        <v>46201.46</v>
      </c>
      <c r="D74">
        <v>78.8</v>
      </c>
      <c r="E74">
        <v>1</v>
      </c>
      <c r="F74">
        <v>0</v>
      </c>
      <c r="G74">
        <v>0</v>
      </c>
      <c r="H74" t="s">
        <v>16</v>
      </c>
      <c r="L74" s="6">
        <v>35</v>
      </c>
      <c r="M74" s="6">
        <v>794530.60141322995</v>
      </c>
      <c r="N74" s="6">
        <v>4421.5685867700959</v>
      </c>
    </row>
    <row r="75" spans="1:14">
      <c r="A75">
        <v>630829.93999999994</v>
      </c>
      <c r="B75" s="1">
        <v>6821</v>
      </c>
      <c r="C75">
        <v>53762.92</v>
      </c>
      <c r="D75">
        <v>94.6</v>
      </c>
      <c r="E75">
        <v>1</v>
      </c>
      <c r="F75">
        <v>0</v>
      </c>
      <c r="G75">
        <v>0</v>
      </c>
      <c r="H75" t="s">
        <v>16</v>
      </c>
      <c r="L75" s="6">
        <v>36</v>
      </c>
      <c r="M75" s="6">
        <v>823677.91867569811</v>
      </c>
      <c r="N75" s="6">
        <v>-22698.138675698079</v>
      </c>
    </row>
    <row r="76" spans="1:14">
      <c r="A76">
        <v>788087.68</v>
      </c>
      <c r="B76" s="1">
        <v>6806</v>
      </c>
      <c r="C76">
        <v>70144.78</v>
      </c>
      <c r="D76">
        <v>93.1</v>
      </c>
      <c r="E76">
        <v>1</v>
      </c>
      <c r="F76">
        <v>0</v>
      </c>
      <c r="G76">
        <v>0</v>
      </c>
      <c r="H76" t="s">
        <v>16</v>
      </c>
      <c r="L76" s="6">
        <v>37</v>
      </c>
      <c r="M76" s="6">
        <v>775738.72621799656</v>
      </c>
      <c r="N76" s="6">
        <v>44855.203782003489</v>
      </c>
    </row>
    <row r="77" spans="1:14">
      <c r="A77">
        <v>680840.36</v>
      </c>
      <c r="B77" s="1">
        <v>8252</v>
      </c>
      <c r="C77">
        <v>58749.63</v>
      </c>
      <c r="D77">
        <v>85.2</v>
      </c>
      <c r="E77">
        <v>1</v>
      </c>
      <c r="F77">
        <v>0</v>
      </c>
      <c r="G77">
        <v>0</v>
      </c>
      <c r="H77" t="s">
        <v>16</v>
      </c>
      <c r="L77" s="6">
        <v>38</v>
      </c>
      <c r="M77" s="6">
        <v>766280.65207957628</v>
      </c>
      <c r="N77" s="6">
        <v>-47950.122079576249</v>
      </c>
    </row>
    <row r="78" spans="1:14">
      <c r="A78">
        <v>643657.47</v>
      </c>
      <c r="B78" s="1">
        <v>6662</v>
      </c>
      <c r="C78">
        <v>56973.18</v>
      </c>
      <c r="D78">
        <v>77.7</v>
      </c>
      <c r="E78">
        <v>0</v>
      </c>
      <c r="F78">
        <v>1</v>
      </c>
      <c r="G78">
        <v>0</v>
      </c>
      <c r="H78" t="s">
        <v>18</v>
      </c>
      <c r="L78" s="6">
        <v>39</v>
      </c>
      <c r="M78" s="6">
        <v>753457.63383770536</v>
      </c>
      <c r="N78" s="6">
        <v>-16824.233837705338</v>
      </c>
    </row>
    <row r="79" spans="1:14">
      <c r="A79">
        <v>691112.6</v>
      </c>
      <c r="B79" s="1">
        <v>5962</v>
      </c>
      <c r="C79">
        <v>54872.82</v>
      </c>
      <c r="D79">
        <v>85.4</v>
      </c>
      <c r="E79">
        <v>0</v>
      </c>
      <c r="F79">
        <v>1</v>
      </c>
      <c r="G79">
        <v>0</v>
      </c>
      <c r="H79" t="s">
        <v>18</v>
      </c>
      <c r="L79" s="6">
        <v>40</v>
      </c>
      <c r="M79" s="6">
        <v>835824.59205959225</v>
      </c>
      <c r="N79" s="6">
        <v>-7200.742059592274</v>
      </c>
    </row>
    <row r="80" spans="1:14">
      <c r="A80">
        <v>776922.17</v>
      </c>
      <c r="B80" s="1">
        <v>7470</v>
      </c>
      <c r="C80">
        <v>80562.81</v>
      </c>
      <c r="D80">
        <v>83.5</v>
      </c>
      <c r="E80">
        <v>0</v>
      </c>
      <c r="F80">
        <v>1</v>
      </c>
      <c r="G80">
        <v>0</v>
      </c>
      <c r="H80" t="s">
        <v>18</v>
      </c>
      <c r="L80" s="6">
        <v>41</v>
      </c>
      <c r="M80" s="6">
        <v>597429.248907589</v>
      </c>
      <c r="N80" s="6">
        <v>-5233.3989075890277</v>
      </c>
    </row>
    <row r="81" spans="1:14">
      <c r="A81">
        <v>636561.34</v>
      </c>
      <c r="B81" s="1">
        <v>5974</v>
      </c>
      <c r="C81">
        <v>77999.899999999994</v>
      </c>
      <c r="D81">
        <v>81.3</v>
      </c>
      <c r="E81">
        <v>0</v>
      </c>
      <c r="F81">
        <v>1</v>
      </c>
      <c r="G81">
        <v>0</v>
      </c>
      <c r="H81" t="s">
        <v>18</v>
      </c>
      <c r="L81" s="6">
        <v>42</v>
      </c>
      <c r="M81" s="6">
        <v>528859.41557697288</v>
      </c>
      <c r="N81" s="6">
        <v>3785.0444230270805</v>
      </c>
    </row>
    <row r="82" spans="1:14">
      <c r="A82">
        <v>621369.57999999996</v>
      </c>
      <c r="B82" s="1">
        <v>5410</v>
      </c>
      <c r="C82">
        <v>60881.01</v>
      </c>
      <c r="D82">
        <v>83.9</v>
      </c>
      <c r="E82">
        <v>0</v>
      </c>
      <c r="F82">
        <v>0</v>
      </c>
      <c r="G82">
        <v>1</v>
      </c>
      <c r="H82" t="s">
        <v>28</v>
      </c>
      <c r="L82" s="6">
        <v>43</v>
      </c>
      <c r="M82" s="6">
        <v>598377.83303811681</v>
      </c>
      <c r="N82" s="6">
        <v>59051.346961883246</v>
      </c>
    </row>
    <row r="83" spans="1:14">
      <c r="A83">
        <v>682208.01</v>
      </c>
      <c r="B83" s="1">
        <v>4451</v>
      </c>
      <c r="C83">
        <v>60628.38</v>
      </c>
      <c r="D83">
        <v>89.6</v>
      </c>
      <c r="E83">
        <v>0</v>
      </c>
      <c r="F83">
        <v>0</v>
      </c>
      <c r="G83">
        <v>1</v>
      </c>
      <c r="H83" t="s">
        <v>28</v>
      </c>
      <c r="L83" s="6">
        <v>44</v>
      </c>
      <c r="M83" s="6">
        <v>602891.38913233741</v>
      </c>
      <c r="N83" s="6">
        <v>2286.6108676625881</v>
      </c>
    </row>
    <row r="84" spans="1:14">
      <c r="A84">
        <v>727241.86</v>
      </c>
      <c r="B84" s="1">
        <v>4644</v>
      </c>
      <c r="C84">
        <v>72731.14</v>
      </c>
      <c r="D84">
        <v>87.1</v>
      </c>
      <c r="E84">
        <v>0</v>
      </c>
      <c r="F84">
        <v>0</v>
      </c>
      <c r="G84">
        <v>1</v>
      </c>
      <c r="H84" t="s">
        <v>28</v>
      </c>
      <c r="L84" s="6">
        <v>45</v>
      </c>
      <c r="M84" s="6">
        <v>713439.74368973705</v>
      </c>
      <c r="N84" s="6">
        <v>-117972.14368973707</v>
      </c>
    </row>
    <row r="85" spans="1:14">
      <c r="A85">
        <v>569100.78</v>
      </c>
      <c r="B85" s="1">
        <v>3559</v>
      </c>
      <c r="C85">
        <v>36475.71</v>
      </c>
      <c r="D85">
        <v>83.6</v>
      </c>
      <c r="E85">
        <v>0</v>
      </c>
      <c r="F85">
        <v>0</v>
      </c>
      <c r="G85">
        <v>1</v>
      </c>
      <c r="H85" t="s">
        <v>28</v>
      </c>
      <c r="L85" s="6">
        <v>46</v>
      </c>
      <c r="M85" s="6">
        <v>633703.14136496093</v>
      </c>
      <c r="N85" s="6">
        <v>-34099.741364960908</v>
      </c>
    </row>
    <row r="86" spans="1:14">
      <c r="A86">
        <v>574436.29</v>
      </c>
      <c r="B86" s="1">
        <v>3091</v>
      </c>
      <c r="C86">
        <v>55388.11</v>
      </c>
      <c r="D86">
        <v>85.4</v>
      </c>
      <c r="E86">
        <v>0</v>
      </c>
      <c r="F86">
        <v>1</v>
      </c>
      <c r="G86">
        <v>0</v>
      </c>
      <c r="H86" t="s">
        <v>18</v>
      </c>
      <c r="L86" s="6">
        <v>47</v>
      </c>
      <c r="M86" s="6">
        <v>572034.77344602882</v>
      </c>
      <c r="N86" s="6">
        <v>42765.316553971148</v>
      </c>
    </row>
    <row r="87" spans="1:14">
      <c r="A87">
        <v>611766.72</v>
      </c>
      <c r="B87" s="1">
        <v>4004</v>
      </c>
      <c r="C87">
        <v>88443.77</v>
      </c>
      <c r="D87">
        <v>91.9</v>
      </c>
      <c r="E87">
        <v>0</v>
      </c>
      <c r="F87">
        <v>1</v>
      </c>
      <c r="G87">
        <v>0</v>
      </c>
      <c r="H87" t="s">
        <v>18</v>
      </c>
      <c r="L87" s="6">
        <v>48</v>
      </c>
      <c r="M87" s="6">
        <v>562892.2611188048</v>
      </c>
      <c r="N87" s="6">
        <v>22473.468881195178</v>
      </c>
    </row>
    <row r="88" spans="1:14">
      <c r="A88">
        <v>614596.31999999995</v>
      </c>
      <c r="B88" s="1">
        <v>3788</v>
      </c>
      <c r="C88">
        <v>78231.91</v>
      </c>
      <c r="D88">
        <v>88.5</v>
      </c>
      <c r="E88">
        <v>0</v>
      </c>
      <c r="F88">
        <v>1</v>
      </c>
      <c r="G88">
        <v>0</v>
      </c>
      <c r="H88" t="s">
        <v>18</v>
      </c>
      <c r="L88" s="6">
        <v>49</v>
      </c>
      <c r="M88" s="6">
        <v>659750.29011594877</v>
      </c>
      <c r="N88" s="6">
        <v>-36938.550115948776</v>
      </c>
    </row>
    <row r="89" spans="1:14">
      <c r="A89">
        <v>450711.92</v>
      </c>
      <c r="B89" s="1">
        <v>1260</v>
      </c>
      <c r="C89">
        <v>18996.32</v>
      </c>
      <c r="D89">
        <v>86.4</v>
      </c>
      <c r="E89">
        <v>0</v>
      </c>
      <c r="F89">
        <v>1</v>
      </c>
      <c r="G89">
        <v>0</v>
      </c>
      <c r="H89" t="s">
        <v>18</v>
      </c>
      <c r="L89" s="6">
        <v>50</v>
      </c>
      <c r="M89" s="6">
        <v>598152.74097369716</v>
      </c>
      <c r="N89" s="6">
        <v>5144.8290263027884</v>
      </c>
    </row>
    <row r="90" spans="1:14">
      <c r="A90">
        <v>711213.46</v>
      </c>
      <c r="B90" s="1">
        <v>7024</v>
      </c>
      <c r="C90">
        <v>50517.94</v>
      </c>
      <c r="D90">
        <v>79.2</v>
      </c>
      <c r="E90">
        <v>0</v>
      </c>
      <c r="F90">
        <v>0</v>
      </c>
      <c r="G90">
        <v>1</v>
      </c>
      <c r="H90" t="s">
        <v>28</v>
      </c>
      <c r="L90" s="6">
        <v>51</v>
      </c>
      <c r="M90" s="6">
        <v>611493.94894115499</v>
      </c>
      <c r="N90" s="6">
        <v>14178.911058844998</v>
      </c>
    </row>
    <row r="91" spans="1:14">
      <c r="A91">
        <v>627171.9</v>
      </c>
      <c r="B91" s="1">
        <v>5400</v>
      </c>
      <c r="C91">
        <v>141540.29</v>
      </c>
      <c r="D91">
        <v>87</v>
      </c>
      <c r="E91">
        <v>0</v>
      </c>
      <c r="F91">
        <v>0</v>
      </c>
      <c r="G91">
        <v>1</v>
      </c>
      <c r="H91" t="s">
        <v>28</v>
      </c>
      <c r="L91" s="6">
        <v>52</v>
      </c>
      <c r="M91" s="6">
        <v>740944.73037231516</v>
      </c>
      <c r="N91" s="6">
        <v>32870.409627684858</v>
      </c>
    </row>
    <row r="92" spans="1:14">
      <c r="A92">
        <v>739852.58</v>
      </c>
      <c r="B92" s="1">
        <v>5988</v>
      </c>
      <c r="C92">
        <v>82116.19</v>
      </c>
      <c r="D92">
        <v>91.8</v>
      </c>
      <c r="E92">
        <v>0</v>
      </c>
      <c r="F92">
        <v>0</v>
      </c>
      <c r="G92">
        <v>1</v>
      </c>
      <c r="H92" t="s">
        <v>28</v>
      </c>
      <c r="L92" s="6">
        <v>53</v>
      </c>
      <c r="M92" s="6">
        <v>554329.14211206045</v>
      </c>
      <c r="N92" s="6">
        <v>-90794.89211206045</v>
      </c>
    </row>
    <row r="93" spans="1:14">
      <c r="A93">
        <v>586307.22</v>
      </c>
      <c r="B93" s="1">
        <v>3701</v>
      </c>
      <c r="C93">
        <v>31207.51</v>
      </c>
      <c r="D93">
        <v>84.7</v>
      </c>
      <c r="E93">
        <v>0</v>
      </c>
      <c r="F93">
        <v>0</v>
      </c>
      <c r="G93">
        <v>1</v>
      </c>
      <c r="H93" t="s">
        <v>28</v>
      </c>
      <c r="L93" s="6">
        <v>54</v>
      </c>
      <c r="M93" s="6">
        <v>710791.42836654128</v>
      </c>
      <c r="N93" s="6">
        <v>35886.32163345872</v>
      </c>
    </row>
    <row r="94" spans="1:14">
      <c r="A94">
        <v>585937.48</v>
      </c>
      <c r="B94" s="1">
        <v>4509</v>
      </c>
      <c r="C94">
        <v>38966.589999999997</v>
      </c>
      <c r="D94">
        <v>91.1</v>
      </c>
      <c r="E94">
        <v>1</v>
      </c>
      <c r="F94">
        <v>0</v>
      </c>
      <c r="G94">
        <v>0</v>
      </c>
      <c r="H94" t="s">
        <v>16</v>
      </c>
      <c r="L94" s="6">
        <v>55</v>
      </c>
      <c r="M94" s="6">
        <v>674171.70204198326</v>
      </c>
      <c r="N94" s="6">
        <v>46680.797958016745</v>
      </c>
    </row>
    <row r="95" spans="1:14">
      <c r="A95">
        <v>753473.55</v>
      </c>
      <c r="B95" s="1">
        <v>6477</v>
      </c>
      <c r="C95">
        <v>67439.3</v>
      </c>
      <c r="D95">
        <v>90.9</v>
      </c>
      <c r="E95">
        <v>1</v>
      </c>
      <c r="F95">
        <v>0</v>
      </c>
      <c r="G95">
        <v>0</v>
      </c>
      <c r="H95" t="s">
        <v>16</v>
      </c>
      <c r="L95" s="6">
        <v>56</v>
      </c>
      <c r="M95" s="6">
        <v>525970.4470217505</v>
      </c>
      <c r="N95" s="6">
        <v>-38505.537021750526</v>
      </c>
    </row>
    <row r="96" spans="1:14">
      <c r="A96">
        <v>838250.32</v>
      </c>
      <c r="B96" s="1">
        <v>7970</v>
      </c>
      <c r="C96">
        <v>86421.88</v>
      </c>
      <c r="D96">
        <v>91.3</v>
      </c>
      <c r="E96">
        <v>1</v>
      </c>
      <c r="F96">
        <v>0</v>
      </c>
      <c r="G96">
        <v>0</v>
      </c>
      <c r="H96" t="s">
        <v>16</v>
      </c>
      <c r="L96" s="6">
        <v>57</v>
      </c>
      <c r="M96" s="6">
        <v>539502.41111256322</v>
      </c>
      <c r="N96" s="6">
        <v>-21453.15111256321</v>
      </c>
    </row>
    <row r="97" spans="1:14">
      <c r="A97">
        <v>607898.12</v>
      </c>
      <c r="B97" s="1">
        <v>6057</v>
      </c>
      <c r="C97">
        <v>9534.65</v>
      </c>
      <c r="D97">
        <v>94.1</v>
      </c>
      <c r="E97">
        <v>1</v>
      </c>
      <c r="F97">
        <v>0</v>
      </c>
      <c r="G97">
        <v>0</v>
      </c>
      <c r="H97" t="s">
        <v>16</v>
      </c>
      <c r="L97" s="6">
        <v>58</v>
      </c>
      <c r="M97" s="6">
        <v>533649.83596698509</v>
      </c>
      <c r="N97" s="6">
        <v>-33351.355966985109</v>
      </c>
    </row>
    <row r="98" spans="1:14">
      <c r="A98">
        <v>691113.62</v>
      </c>
      <c r="B98" s="1">
        <v>6394</v>
      </c>
      <c r="C98">
        <v>61132.07</v>
      </c>
      <c r="D98">
        <v>91</v>
      </c>
      <c r="E98">
        <v>0</v>
      </c>
      <c r="F98">
        <v>0</v>
      </c>
      <c r="G98">
        <v>1</v>
      </c>
      <c r="H98" t="s">
        <v>28</v>
      </c>
      <c r="L98" s="6">
        <v>59</v>
      </c>
      <c r="M98" s="6">
        <v>688429.05096636259</v>
      </c>
      <c r="N98" s="6">
        <v>-71137.900966362562</v>
      </c>
    </row>
    <row r="99" spans="1:14">
      <c r="A99">
        <v>735509.4</v>
      </c>
      <c r="B99" s="1">
        <v>5150</v>
      </c>
      <c r="C99">
        <v>78839.39</v>
      </c>
      <c r="D99">
        <v>85.8</v>
      </c>
      <c r="E99">
        <v>0</v>
      </c>
      <c r="F99">
        <v>0</v>
      </c>
      <c r="G99">
        <v>1</v>
      </c>
      <c r="H99" t="s">
        <v>28</v>
      </c>
      <c r="L99" s="6">
        <v>60</v>
      </c>
      <c r="M99" s="6">
        <v>627367.69274287601</v>
      </c>
      <c r="N99" s="6">
        <v>-73611.262742875959</v>
      </c>
    </row>
    <row r="100" spans="1:14">
      <c r="A100">
        <v>605775.32999999996</v>
      </c>
      <c r="B100" s="1">
        <v>4712</v>
      </c>
      <c r="C100">
        <v>38752.800000000003</v>
      </c>
      <c r="D100">
        <v>89.7</v>
      </c>
      <c r="E100">
        <v>0</v>
      </c>
      <c r="F100">
        <v>0</v>
      </c>
      <c r="G100">
        <v>1</v>
      </c>
      <c r="H100" t="s">
        <v>28</v>
      </c>
      <c r="L100" s="6">
        <v>61</v>
      </c>
      <c r="M100" s="6">
        <v>682977.90369780478</v>
      </c>
      <c r="N100" s="6">
        <v>66581.806302195182</v>
      </c>
    </row>
    <row r="101" spans="1:14">
      <c r="A101">
        <v>675177.68</v>
      </c>
      <c r="B101" s="1">
        <v>5281</v>
      </c>
      <c r="C101">
        <v>55101.1</v>
      </c>
      <c r="D101">
        <v>91</v>
      </c>
      <c r="E101">
        <v>0</v>
      </c>
      <c r="F101">
        <v>0</v>
      </c>
      <c r="G101">
        <v>1</v>
      </c>
      <c r="H101" t="s">
        <v>28</v>
      </c>
      <c r="L101" s="6">
        <v>62</v>
      </c>
      <c r="M101" s="6">
        <v>564417.75013237027</v>
      </c>
      <c r="N101" s="6">
        <v>51548.729867629707</v>
      </c>
    </row>
    <row r="102" spans="1:14">
      <c r="A102">
        <v>635181.35</v>
      </c>
      <c r="B102" s="1">
        <v>3642</v>
      </c>
      <c r="C102">
        <v>53084.76</v>
      </c>
      <c r="D102">
        <v>91.4</v>
      </c>
      <c r="E102">
        <v>0</v>
      </c>
      <c r="F102">
        <v>0</v>
      </c>
      <c r="G102">
        <v>1</v>
      </c>
      <c r="H102" t="s">
        <v>28</v>
      </c>
      <c r="L102" s="6">
        <v>63</v>
      </c>
      <c r="M102" s="6">
        <v>583726.48526267509</v>
      </c>
      <c r="N102" s="6">
        <v>-11715.285262675141</v>
      </c>
    </row>
    <row r="103" spans="1:14">
      <c r="A103">
        <v>586626.93999999994</v>
      </c>
      <c r="B103" s="1">
        <v>4373</v>
      </c>
      <c r="C103">
        <v>63101.59</v>
      </c>
      <c r="D103">
        <v>90.4</v>
      </c>
      <c r="E103">
        <v>0</v>
      </c>
      <c r="F103">
        <v>0</v>
      </c>
      <c r="G103">
        <v>1</v>
      </c>
      <c r="H103" t="s">
        <v>28</v>
      </c>
      <c r="L103" s="6">
        <v>64</v>
      </c>
      <c r="M103" s="6">
        <v>713509.62158408295</v>
      </c>
      <c r="N103" s="6">
        <v>48350.56841591699</v>
      </c>
    </row>
    <row r="104" spans="1:14">
      <c r="A104">
        <v>740102.64</v>
      </c>
      <c r="B104" s="1">
        <v>6832</v>
      </c>
      <c r="C104">
        <v>90084.4</v>
      </c>
      <c r="D104">
        <v>80.5</v>
      </c>
      <c r="E104">
        <v>0</v>
      </c>
      <c r="F104">
        <v>0</v>
      </c>
      <c r="G104">
        <v>1</v>
      </c>
      <c r="H104" t="s">
        <v>28</v>
      </c>
      <c r="L104" s="6">
        <v>65</v>
      </c>
      <c r="M104" s="6">
        <v>806040.37979066628</v>
      </c>
      <c r="N104" s="6">
        <v>-21537.699790666229</v>
      </c>
    </row>
    <row r="105" spans="1:14">
      <c r="A105">
        <v>625514.04</v>
      </c>
      <c r="B105" s="1">
        <v>2414</v>
      </c>
      <c r="C105">
        <v>32266.639999999999</v>
      </c>
      <c r="D105">
        <v>92.1</v>
      </c>
      <c r="E105">
        <v>0</v>
      </c>
      <c r="F105">
        <v>0</v>
      </c>
      <c r="G105">
        <v>1</v>
      </c>
      <c r="H105" t="s">
        <v>28</v>
      </c>
      <c r="L105" s="6">
        <v>66</v>
      </c>
      <c r="M105" s="6">
        <v>736698.0510260046</v>
      </c>
      <c r="N105" s="6">
        <v>-19556.501026004553</v>
      </c>
    </row>
    <row r="106" spans="1:14">
      <c r="A106">
        <v>727227.2</v>
      </c>
      <c r="B106" s="1">
        <v>7374</v>
      </c>
      <c r="C106">
        <v>57919.07</v>
      </c>
      <c r="D106">
        <v>82.3</v>
      </c>
      <c r="E106">
        <v>0</v>
      </c>
      <c r="F106">
        <v>1</v>
      </c>
      <c r="G106">
        <v>0</v>
      </c>
      <c r="H106" t="s">
        <v>18</v>
      </c>
      <c r="L106" s="6">
        <v>67</v>
      </c>
      <c r="M106" s="6">
        <v>844194.63629117212</v>
      </c>
      <c r="N106" s="6">
        <v>-158815.55629117216</v>
      </c>
    </row>
    <row r="107" spans="1:14">
      <c r="A107">
        <v>783797.89</v>
      </c>
      <c r="B107" s="1">
        <v>8739</v>
      </c>
      <c r="C107">
        <v>74679.350000000006</v>
      </c>
      <c r="D107">
        <v>91.8</v>
      </c>
      <c r="E107">
        <v>0</v>
      </c>
      <c r="F107">
        <v>1</v>
      </c>
      <c r="G107">
        <v>0</v>
      </c>
      <c r="H107" t="s">
        <v>18</v>
      </c>
      <c r="L107" s="6">
        <v>68</v>
      </c>
      <c r="M107" s="6">
        <v>733351.3588002373</v>
      </c>
      <c r="N107" s="6">
        <v>7145.2911997627234</v>
      </c>
    </row>
    <row r="108" spans="1:14">
      <c r="A108">
        <v>795153.84</v>
      </c>
      <c r="B108" s="1">
        <v>6992</v>
      </c>
      <c r="C108">
        <v>64294.23</v>
      </c>
      <c r="D108">
        <v>94.1</v>
      </c>
      <c r="E108">
        <v>0</v>
      </c>
      <c r="F108">
        <v>1</v>
      </c>
      <c r="G108">
        <v>0</v>
      </c>
      <c r="H108" t="s">
        <v>18</v>
      </c>
      <c r="L108" s="6">
        <v>69</v>
      </c>
      <c r="M108" s="6">
        <v>600151.26772529539</v>
      </c>
      <c r="N108" s="6">
        <v>61775.872274704627</v>
      </c>
    </row>
    <row r="109" spans="1:14">
      <c r="A109">
        <v>665594.93999999994</v>
      </c>
      <c r="B109" s="1">
        <v>7107</v>
      </c>
      <c r="C109">
        <v>31042.03</v>
      </c>
      <c r="D109">
        <v>87</v>
      </c>
      <c r="E109">
        <v>0</v>
      </c>
      <c r="F109">
        <v>1</v>
      </c>
      <c r="G109">
        <v>0</v>
      </c>
      <c r="H109" t="s">
        <v>18</v>
      </c>
      <c r="L109" s="6">
        <v>70</v>
      </c>
      <c r="M109" s="6">
        <v>512617.6561379921</v>
      </c>
      <c r="N109" s="6">
        <v>-33567.156137992104</v>
      </c>
    </row>
    <row r="110" spans="1:14">
      <c r="A110">
        <v>709478.39</v>
      </c>
      <c r="B110" s="1">
        <v>6975</v>
      </c>
      <c r="C110">
        <v>75265.02</v>
      </c>
      <c r="D110">
        <v>73.8</v>
      </c>
      <c r="E110">
        <v>0</v>
      </c>
      <c r="F110">
        <v>0</v>
      </c>
      <c r="G110">
        <v>1</v>
      </c>
      <c r="H110" t="s">
        <v>28</v>
      </c>
      <c r="L110" s="6">
        <v>71</v>
      </c>
      <c r="M110" s="6">
        <v>605349.07934385282</v>
      </c>
      <c r="N110" s="6">
        <v>-325.20934385282453</v>
      </c>
    </row>
    <row r="111" spans="1:14">
      <c r="A111">
        <v>664162.49</v>
      </c>
      <c r="B111" s="1">
        <v>5493</v>
      </c>
      <c r="C111">
        <v>69411.7</v>
      </c>
      <c r="D111">
        <v>86.5</v>
      </c>
      <c r="E111">
        <v>0</v>
      </c>
      <c r="F111">
        <v>0</v>
      </c>
      <c r="G111">
        <v>1</v>
      </c>
      <c r="H111" t="s">
        <v>28</v>
      </c>
      <c r="L111" s="6">
        <v>72</v>
      </c>
      <c r="M111" s="6">
        <v>642398.67800767417</v>
      </c>
      <c r="N111" s="6">
        <v>32375.411992325797</v>
      </c>
    </row>
    <row r="112" spans="1:14">
      <c r="A112">
        <v>633494.21</v>
      </c>
      <c r="B112" s="1">
        <v>5686</v>
      </c>
      <c r="C112">
        <v>51056.15</v>
      </c>
      <c r="D112">
        <v>89.9</v>
      </c>
      <c r="E112">
        <v>0</v>
      </c>
      <c r="F112">
        <v>0</v>
      </c>
      <c r="G112">
        <v>1</v>
      </c>
      <c r="H112" t="s">
        <v>28</v>
      </c>
      <c r="L112" s="6">
        <v>73</v>
      </c>
      <c r="M112" s="6">
        <v>601659.22885526903</v>
      </c>
      <c r="N112" s="6">
        <v>14410.181144731003</v>
      </c>
    </row>
    <row r="113" spans="1:14">
      <c r="A113">
        <v>713611.16</v>
      </c>
      <c r="B113" s="1">
        <v>4063</v>
      </c>
      <c r="C113">
        <v>52758.01</v>
      </c>
      <c r="D113">
        <v>91.7</v>
      </c>
      <c r="E113">
        <v>0</v>
      </c>
      <c r="F113">
        <v>0</v>
      </c>
      <c r="G113">
        <v>1</v>
      </c>
      <c r="H113" t="s">
        <v>28</v>
      </c>
      <c r="L113" s="6">
        <v>74</v>
      </c>
      <c r="M113" s="6">
        <v>689367.44917368353</v>
      </c>
      <c r="N113" s="6">
        <v>-58537.509173683589</v>
      </c>
    </row>
    <row r="114" spans="1:14">
      <c r="A114">
        <v>778397.97</v>
      </c>
      <c r="B114" s="1">
        <v>8966</v>
      </c>
      <c r="C114">
        <v>61426.04</v>
      </c>
      <c r="D114">
        <v>76.400000000000006</v>
      </c>
      <c r="E114">
        <v>0</v>
      </c>
      <c r="F114">
        <v>0</v>
      </c>
      <c r="G114">
        <v>1</v>
      </c>
      <c r="H114" t="s">
        <v>28</v>
      </c>
      <c r="L114" s="6">
        <v>75</v>
      </c>
      <c r="M114" s="6">
        <v>703544.38527962356</v>
      </c>
      <c r="N114" s="6">
        <v>84543.294720376492</v>
      </c>
    </row>
    <row r="115" spans="1:14">
      <c r="A115">
        <v>873380.02</v>
      </c>
      <c r="B115" s="1">
        <v>9489</v>
      </c>
      <c r="C115">
        <v>80176.34</v>
      </c>
      <c r="D115">
        <v>94.3</v>
      </c>
      <c r="E115">
        <v>0</v>
      </c>
      <c r="F115">
        <v>0</v>
      </c>
      <c r="G115">
        <v>1</v>
      </c>
      <c r="H115" t="s">
        <v>28</v>
      </c>
      <c r="L115" s="6">
        <v>76</v>
      </c>
      <c r="M115" s="6">
        <v>714644.94233948295</v>
      </c>
      <c r="N115" s="6">
        <v>-33804.582339482964</v>
      </c>
    </row>
    <row r="116" spans="1:14">
      <c r="A116">
        <v>697287.9</v>
      </c>
      <c r="B116" s="1">
        <v>9225</v>
      </c>
      <c r="C116">
        <v>33605.18</v>
      </c>
      <c r="D116">
        <v>88.4</v>
      </c>
      <c r="E116">
        <v>0</v>
      </c>
      <c r="F116">
        <v>0</v>
      </c>
      <c r="G116">
        <v>1</v>
      </c>
      <c r="H116" t="s">
        <v>28</v>
      </c>
      <c r="L116" s="6">
        <v>77</v>
      </c>
      <c r="M116" s="6">
        <v>652722.370507302</v>
      </c>
      <c r="N116" s="6">
        <v>-9064.9005073020235</v>
      </c>
    </row>
    <row r="117" spans="1:14">
      <c r="A117">
        <v>718074.79</v>
      </c>
      <c r="B117" s="1">
        <v>9249</v>
      </c>
      <c r="C117">
        <v>25990.54</v>
      </c>
      <c r="D117">
        <v>92.5</v>
      </c>
      <c r="E117">
        <v>0</v>
      </c>
      <c r="F117">
        <v>0</v>
      </c>
      <c r="G117">
        <v>1</v>
      </c>
      <c r="H117" t="s">
        <v>28</v>
      </c>
      <c r="L117" s="6">
        <v>78</v>
      </c>
      <c r="M117" s="6">
        <v>650256.95990169211</v>
      </c>
      <c r="N117" s="6">
        <v>40855.640098307864</v>
      </c>
    </row>
    <row r="118" spans="1:14">
      <c r="A118">
        <v>714942.43</v>
      </c>
      <c r="B118" s="1">
        <v>7821</v>
      </c>
      <c r="C118">
        <v>43685.14</v>
      </c>
      <c r="D118">
        <v>91</v>
      </c>
      <c r="E118">
        <v>1</v>
      </c>
      <c r="F118">
        <v>0</v>
      </c>
      <c r="G118">
        <v>0</v>
      </c>
      <c r="H118" t="s">
        <v>16</v>
      </c>
      <c r="L118" s="6">
        <v>79</v>
      </c>
      <c r="M118" s="6">
        <v>725461.71373186668</v>
      </c>
      <c r="N118" s="6">
        <v>51460.456268133363</v>
      </c>
    </row>
    <row r="119" spans="1:14">
      <c r="A119">
        <v>820519.04</v>
      </c>
      <c r="B119" s="1">
        <v>8434</v>
      </c>
      <c r="C119">
        <v>57360.01</v>
      </c>
      <c r="D119">
        <v>84.1</v>
      </c>
      <c r="E119">
        <v>1</v>
      </c>
      <c r="F119">
        <v>0</v>
      </c>
      <c r="G119">
        <v>0</v>
      </c>
      <c r="H119" t="s">
        <v>16</v>
      </c>
      <c r="L119" s="6">
        <v>80</v>
      </c>
      <c r="M119" s="6">
        <v>665316.84753877111</v>
      </c>
      <c r="N119" s="6">
        <v>-28755.50753877114</v>
      </c>
    </row>
    <row r="120" spans="1:14">
      <c r="A120">
        <v>684217.32</v>
      </c>
      <c r="B120" s="1">
        <v>8512</v>
      </c>
      <c r="C120">
        <v>42415.47</v>
      </c>
      <c r="D120">
        <v>96.8</v>
      </c>
      <c r="E120">
        <v>1</v>
      </c>
      <c r="F120">
        <v>0</v>
      </c>
      <c r="G120">
        <v>0</v>
      </c>
      <c r="H120" t="s">
        <v>16</v>
      </c>
      <c r="L120" s="6">
        <v>81</v>
      </c>
      <c r="M120" s="6">
        <v>645790.36162379291</v>
      </c>
      <c r="N120" s="6">
        <v>-24420.781623792951</v>
      </c>
    </row>
    <row r="121" spans="1:14">
      <c r="A121">
        <v>735480.19</v>
      </c>
      <c r="B121" s="1">
        <v>7816</v>
      </c>
      <c r="C121">
        <v>54968.98</v>
      </c>
      <c r="D121">
        <v>95.7</v>
      </c>
      <c r="E121">
        <v>1</v>
      </c>
      <c r="F121">
        <v>0</v>
      </c>
      <c r="G121">
        <v>0</v>
      </c>
      <c r="H121" t="s">
        <v>16</v>
      </c>
      <c r="L121" s="6">
        <v>82</v>
      </c>
      <c r="M121" s="6">
        <v>630649.26760288794</v>
      </c>
      <c r="N121" s="6">
        <v>51558.742397112073</v>
      </c>
    </row>
    <row r="122" spans="1:14">
      <c r="A122">
        <v>509484.81</v>
      </c>
      <c r="B122" s="1">
        <v>3853</v>
      </c>
      <c r="C122">
        <v>43896.13</v>
      </c>
      <c r="D122">
        <v>83</v>
      </c>
      <c r="E122">
        <v>0</v>
      </c>
      <c r="F122">
        <v>1</v>
      </c>
      <c r="G122">
        <v>0</v>
      </c>
      <c r="H122" t="s">
        <v>18</v>
      </c>
      <c r="L122" s="6">
        <v>83</v>
      </c>
      <c r="M122" s="6">
        <v>643734.2214386072</v>
      </c>
      <c r="N122" s="6">
        <v>83507.638561392785</v>
      </c>
    </row>
    <row r="123" spans="1:14">
      <c r="A123">
        <v>654317.09</v>
      </c>
      <c r="B123" s="1">
        <v>3694</v>
      </c>
      <c r="C123">
        <v>83044.17</v>
      </c>
      <c r="D123">
        <v>89.4</v>
      </c>
      <c r="E123">
        <v>0</v>
      </c>
      <c r="F123">
        <v>1</v>
      </c>
      <c r="G123">
        <v>0</v>
      </c>
      <c r="H123" t="s">
        <v>18</v>
      </c>
      <c r="L123" s="6">
        <v>84</v>
      </c>
      <c r="M123" s="6">
        <v>553805.38628257846</v>
      </c>
      <c r="N123" s="6">
        <v>15295.393717421568</v>
      </c>
    </row>
    <row r="124" spans="1:14">
      <c r="A124">
        <v>557487.26</v>
      </c>
      <c r="B124" s="1">
        <v>4423</v>
      </c>
      <c r="C124">
        <v>48396.13</v>
      </c>
      <c r="D124">
        <v>85.7</v>
      </c>
      <c r="E124">
        <v>0</v>
      </c>
      <c r="F124">
        <v>1</v>
      </c>
      <c r="G124">
        <v>0</v>
      </c>
      <c r="H124" t="s">
        <v>18</v>
      </c>
      <c r="L124" s="6">
        <v>85</v>
      </c>
      <c r="M124" s="6">
        <v>554157.76301982405</v>
      </c>
      <c r="N124" s="6">
        <v>20278.526980175986</v>
      </c>
    </row>
    <row r="125" spans="1:14">
      <c r="A125">
        <v>441275.42</v>
      </c>
      <c r="B125" s="1">
        <v>1906</v>
      </c>
      <c r="C125">
        <v>19063.48</v>
      </c>
      <c r="D125">
        <v>97.8</v>
      </c>
      <c r="E125">
        <v>0</v>
      </c>
      <c r="F125">
        <v>1</v>
      </c>
      <c r="G125">
        <v>0</v>
      </c>
      <c r="H125" t="s">
        <v>18</v>
      </c>
      <c r="L125" s="6">
        <v>86</v>
      </c>
      <c r="M125" s="6">
        <v>643716.64519443805</v>
      </c>
      <c r="N125" s="6">
        <v>-31949.925194438081</v>
      </c>
    </row>
    <row r="126" spans="1:14">
      <c r="A126">
        <v>914544.17</v>
      </c>
      <c r="B126" s="1">
        <v>10396</v>
      </c>
      <c r="C126">
        <v>61541.21</v>
      </c>
      <c r="D126">
        <v>88.1</v>
      </c>
      <c r="E126">
        <v>0</v>
      </c>
      <c r="F126">
        <v>1</v>
      </c>
      <c r="G126">
        <v>0</v>
      </c>
      <c r="H126" t="s">
        <v>18</v>
      </c>
      <c r="L126" s="6">
        <v>87</v>
      </c>
      <c r="M126" s="6">
        <v>614010.68701913941</v>
      </c>
      <c r="N126" s="6">
        <v>585.63298086053692</v>
      </c>
    </row>
    <row r="127" spans="1:14">
      <c r="A127">
        <v>842439.67</v>
      </c>
      <c r="B127" s="1">
        <v>11076</v>
      </c>
      <c r="C127">
        <v>44747</v>
      </c>
      <c r="D127">
        <v>98.3</v>
      </c>
      <c r="E127">
        <v>0</v>
      </c>
      <c r="F127">
        <v>1</v>
      </c>
      <c r="G127">
        <v>0</v>
      </c>
      <c r="H127" t="s">
        <v>18</v>
      </c>
      <c r="L127" s="6">
        <v>88</v>
      </c>
      <c r="M127" s="6">
        <v>452723.72956104425</v>
      </c>
      <c r="N127" s="6">
        <v>-2011.8095610442688</v>
      </c>
    </row>
    <row r="128" spans="1:14">
      <c r="A128">
        <v>842157.92</v>
      </c>
      <c r="B128" s="1">
        <v>9574</v>
      </c>
      <c r="C128">
        <v>56517.9</v>
      </c>
      <c r="D128">
        <v>88.2</v>
      </c>
      <c r="E128">
        <v>0</v>
      </c>
      <c r="F128">
        <v>1</v>
      </c>
      <c r="G128">
        <v>0</v>
      </c>
      <c r="H128" t="s">
        <v>18</v>
      </c>
      <c r="L128" s="6">
        <v>89</v>
      </c>
      <c r="M128" s="6">
        <v>673565.5999739304</v>
      </c>
      <c r="N128" s="6">
        <v>37647.860026069568</v>
      </c>
    </row>
    <row r="129" spans="1:14">
      <c r="A129">
        <v>697155.3</v>
      </c>
      <c r="B129" s="1">
        <v>8221</v>
      </c>
      <c r="C129">
        <v>37828.5</v>
      </c>
      <c r="D129">
        <v>81.5</v>
      </c>
      <c r="E129">
        <v>0</v>
      </c>
      <c r="F129">
        <v>1</v>
      </c>
      <c r="G129">
        <v>0</v>
      </c>
      <c r="H129" t="s">
        <v>18</v>
      </c>
      <c r="L129" s="6">
        <v>90</v>
      </c>
      <c r="M129" s="6">
        <v>749860.67211638251</v>
      </c>
      <c r="N129" s="6">
        <v>-122688.77211638249</v>
      </c>
    </row>
    <row r="130" spans="1:14">
      <c r="A130">
        <v>849018.3</v>
      </c>
      <c r="B130" s="1">
        <v>10618</v>
      </c>
      <c r="C130">
        <v>66250.53</v>
      </c>
      <c r="D130">
        <v>88.3</v>
      </c>
      <c r="E130">
        <v>0</v>
      </c>
      <c r="F130">
        <v>1</v>
      </c>
      <c r="G130">
        <v>0</v>
      </c>
      <c r="H130" t="s">
        <v>18</v>
      </c>
      <c r="L130" s="6">
        <v>91</v>
      </c>
      <c r="M130" s="6">
        <v>714444.15491664165</v>
      </c>
      <c r="N130" s="6">
        <v>25408.425083358306</v>
      </c>
    </row>
    <row r="131" spans="1:14">
      <c r="A131">
        <v>801830.35</v>
      </c>
      <c r="B131" s="1">
        <v>10596</v>
      </c>
      <c r="C131">
        <v>68410.929999999993</v>
      </c>
      <c r="D131">
        <v>81.2</v>
      </c>
      <c r="E131">
        <v>0</v>
      </c>
      <c r="F131">
        <v>1</v>
      </c>
      <c r="G131">
        <v>0</v>
      </c>
      <c r="H131" t="s">
        <v>18</v>
      </c>
      <c r="L131" s="6">
        <v>92</v>
      </c>
      <c r="M131" s="6">
        <v>555758.5722018237</v>
      </c>
      <c r="N131" s="6">
        <v>30548.647798176273</v>
      </c>
    </row>
    <row r="132" spans="1:14">
      <c r="A132">
        <v>725235.28</v>
      </c>
      <c r="B132" s="1">
        <v>9619</v>
      </c>
      <c r="C132">
        <v>50735.63</v>
      </c>
      <c r="D132">
        <v>93.8</v>
      </c>
      <c r="E132">
        <v>0</v>
      </c>
      <c r="F132">
        <v>1</v>
      </c>
      <c r="G132">
        <v>0</v>
      </c>
      <c r="H132" t="s">
        <v>18</v>
      </c>
      <c r="L132" s="6">
        <v>93</v>
      </c>
      <c r="M132" s="6">
        <v>583359.86536869453</v>
      </c>
      <c r="N132" s="6">
        <v>2577.6146313054487</v>
      </c>
    </row>
    <row r="133" spans="1:14">
      <c r="A133">
        <v>811452.72</v>
      </c>
      <c r="B133" s="1">
        <v>10836</v>
      </c>
      <c r="C133">
        <v>66455.8</v>
      </c>
      <c r="D133">
        <v>85</v>
      </c>
      <c r="E133">
        <v>0</v>
      </c>
      <c r="F133">
        <v>1</v>
      </c>
      <c r="G133">
        <v>0</v>
      </c>
      <c r="H133" t="s">
        <v>18</v>
      </c>
      <c r="L133" s="6">
        <v>94</v>
      </c>
      <c r="M133" s="6">
        <v>682540.48710767715</v>
      </c>
      <c r="N133" s="6">
        <v>70933.062892322894</v>
      </c>
    </row>
    <row r="134" spans="1:14">
      <c r="A134">
        <v>527300.13</v>
      </c>
      <c r="B134" s="1">
        <v>3043</v>
      </c>
      <c r="C134">
        <v>70276.28</v>
      </c>
      <c r="D134">
        <v>87.9</v>
      </c>
      <c r="E134">
        <v>0</v>
      </c>
      <c r="F134">
        <v>1</v>
      </c>
      <c r="G134">
        <v>0</v>
      </c>
      <c r="H134" t="s">
        <v>18</v>
      </c>
      <c r="L134" s="6">
        <v>95</v>
      </c>
      <c r="M134" s="6">
        <v>756392.10324654751</v>
      </c>
      <c r="N134" s="6">
        <v>81858.216753452434</v>
      </c>
    </row>
    <row r="135" spans="1:14">
      <c r="A135">
        <v>400831.65</v>
      </c>
      <c r="B135" s="1">
        <v>1814</v>
      </c>
      <c r="C135">
        <v>22071.64</v>
      </c>
      <c r="D135">
        <v>81.099999999999994</v>
      </c>
      <c r="E135">
        <v>0</v>
      </c>
      <c r="F135">
        <v>1</v>
      </c>
      <c r="G135">
        <v>0</v>
      </c>
      <c r="H135" t="s">
        <v>18</v>
      </c>
      <c r="L135" s="6">
        <v>96</v>
      </c>
      <c r="M135" s="6">
        <v>610058.17511771224</v>
      </c>
      <c r="N135" s="6">
        <v>-2160.0551177122397</v>
      </c>
    </row>
    <row r="136" spans="1:14">
      <c r="A136">
        <v>593247.25</v>
      </c>
      <c r="B136" s="1">
        <v>3618</v>
      </c>
      <c r="C136">
        <v>52285.45</v>
      </c>
      <c r="D136">
        <v>95.6</v>
      </c>
      <c r="E136">
        <v>0</v>
      </c>
      <c r="F136">
        <v>1</v>
      </c>
      <c r="G136">
        <v>0</v>
      </c>
      <c r="H136" t="s">
        <v>18</v>
      </c>
      <c r="L136" s="6">
        <v>97</v>
      </c>
      <c r="M136" s="6">
        <v>700977.25285899895</v>
      </c>
      <c r="N136" s="6">
        <v>-9863.6328589989571</v>
      </c>
    </row>
    <row r="137" spans="1:14">
      <c r="A137">
        <v>529075.94999999995</v>
      </c>
      <c r="B137" s="1">
        <v>1963</v>
      </c>
      <c r="C137">
        <v>70366.759999999995</v>
      </c>
      <c r="D137">
        <v>89.8</v>
      </c>
      <c r="E137">
        <v>0</v>
      </c>
      <c r="F137">
        <v>1</v>
      </c>
      <c r="G137">
        <v>0</v>
      </c>
      <c r="H137" t="s">
        <v>18</v>
      </c>
      <c r="L137" s="6">
        <v>98</v>
      </c>
      <c r="M137" s="6">
        <v>663983.89425203274</v>
      </c>
      <c r="N137" s="6">
        <v>71525.505747967283</v>
      </c>
    </row>
    <row r="138" spans="1:14">
      <c r="A138">
        <v>633638.03</v>
      </c>
      <c r="B138" s="1">
        <v>7888</v>
      </c>
      <c r="C138">
        <v>71320.66</v>
      </c>
      <c r="D138">
        <v>78.099999999999994</v>
      </c>
      <c r="E138">
        <v>1</v>
      </c>
      <c r="F138">
        <v>0</v>
      </c>
      <c r="G138">
        <v>0</v>
      </c>
      <c r="H138" t="s">
        <v>16</v>
      </c>
      <c r="L138" s="6">
        <v>99</v>
      </c>
      <c r="M138" s="6">
        <v>614005.9039176458</v>
      </c>
      <c r="N138" s="6">
        <v>-8230.5739176458446</v>
      </c>
    </row>
    <row r="139" spans="1:14">
      <c r="A139">
        <v>743348.84</v>
      </c>
      <c r="B139" s="1">
        <v>6244</v>
      </c>
      <c r="C139">
        <v>75109.67</v>
      </c>
      <c r="D139">
        <v>96.3</v>
      </c>
      <c r="E139">
        <v>1</v>
      </c>
      <c r="F139">
        <v>0</v>
      </c>
      <c r="G139">
        <v>0</v>
      </c>
      <c r="H139" t="s">
        <v>16</v>
      </c>
      <c r="L139" s="6">
        <v>100</v>
      </c>
      <c r="M139" s="6">
        <v>656390.77217813907</v>
      </c>
      <c r="N139" s="6">
        <v>18786.907821860979</v>
      </c>
    </row>
    <row r="140" spans="1:14">
      <c r="A140">
        <v>758827.64</v>
      </c>
      <c r="B140" s="1">
        <v>6544</v>
      </c>
      <c r="C140">
        <v>69779</v>
      </c>
      <c r="D140">
        <v>90.2</v>
      </c>
      <c r="E140">
        <v>1</v>
      </c>
      <c r="F140">
        <v>0</v>
      </c>
      <c r="G140">
        <v>0</v>
      </c>
      <c r="H140" t="s">
        <v>16</v>
      </c>
      <c r="L140" s="6">
        <v>101</v>
      </c>
      <c r="M140" s="6">
        <v>600035.9341397034</v>
      </c>
      <c r="N140" s="6">
        <v>35145.415860296576</v>
      </c>
    </row>
    <row r="141" spans="1:14">
      <c r="A141">
        <v>646559.71</v>
      </c>
      <c r="B141" s="1">
        <v>5465</v>
      </c>
      <c r="C141">
        <v>44211.95</v>
      </c>
      <c r="D141">
        <v>90</v>
      </c>
      <c r="E141">
        <v>1</v>
      </c>
      <c r="F141">
        <v>0</v>
      </c>
      <c r="G141">
        <v>0</v>
      </c>
      <c r="H141" t="s">
        <v>16</v>
      </c>
      <c r="L141" s="6">
        <v>102</v>
      </c>
      <c r="M141" s="6">
        <v>633382.53072291915</v>
      </c>
      <c r="N141" s="6">
        <v>-46755.590722919209</v>
      </c>
    </row>
    <row r="142" spans="1:14">
      <c r="A142">
        <v>715890.53</v>
      </c>
      <c r="B142" s="1">
        <v>6427</v>
      </c>
      <c r="C142">
        <v>51430.31</v>
      </c>
      <c r="D142">
        <v>88.8</v>
      </c>
      <c r="E142">
        <v>0</v>
      </c>
      <c r="F142">
        <v>1</v>
      </c>
      <c r="G142">
        <v>0</v>
      </c>
      <c r="H142" t="s">
        <v>18</v>
      </c>
      <c r="L142" s="6">
        <v>103</v>
      </c>
      <c r="M142" s="6">
        <v>717638.15689949156</v>
      </c>
      <c r="N142" s="6">
        <v>22464.483100508456</v>
      </c>
    </row>
    <row r="143" spans="1:14">
      <c r="A143">
        <v>715097.57</v>
      </c>
      <c r="B143" s="1">
        <v>6704</v>
      </c>
      <c r="C143">
        <v>45706.49</v>
      </c>
      <c r="D143">
        <v>94.2</v>
      </c>
      <c r="E143">
        <v>0</v>
      </c>
      <c r="F143">
        <v>1</v>
      </c>
      <c r="G143">
        <v>0</v>
      </c>
      <c r="H143" t="s">
        <v>18</v>
      </c>
      <c r="L143" s="6">
        <v>104</v>
      </c>
      <c r="M143" s="6">
        <v>536319.80626708106</v>
      </c>
      <c r="N143" s="6">
        <v>89194.233732918976</v>
      </c>
    </row>
    <row r="144" spans="1:14">
      <c r="A144">
        <v>682639.28</v>
      </c>
      <c r="B144" s="1">
        <v>5645</v>
      </c>
      <c r="C144">
        <v>44034.6</v>
      </c>
      <c r="D144">
        <v>88.5</v>
      </c>
      <c r="E144">
        <v>0</v>
      </c>
      <c r="F144">
        <v>1</v>
      </c>
      <c r="G144">
        <v>0</v>
      </c>
      <c r="H144" t="s">
        <v>18</v>
      </c>
      <c r="L144" s="6">
        <v>105</v>
      </c>
      <c r="M144" s="6">
        <v>691907.6034886674</v>
      </c>
      <c r="N144" s="6">
        <v>35319.596511332551</v>
      </c>
    </row>
    <row r="145" spans="1:14">
      <c r="A145">
        <v>695098.51</v>
      </c>
      <c r="B145" s="1">
        <v>6089</v>
      </c>
      <c r="C145">
        <v>50198.12</v>
      </c>
      <c r="D145">
        <v>94</v>
      </c>
      <c r="E145">
        <v>0</v>
      </c>
      <c r="F145">
        <v>1</v>
      </c>
      <c r="G145">
        <v>0</v>
      </c>
      <c r="H145" t="s">
        <v>18</v>
      </c>
      <c r="L145" s="6">
        <v>106</v>
      </c>
      <c r="M145" s="6">
        <v>786705.43363215448</v>
      </c>
      <c r="N145" s="6">
        <v>-2907.5436321544694</v>
      </c>
    </row>
    <row r="146" spans="1:14">
      <c r="A146">
        <v>577732.56999999995</v>
      </c>
      <c r="B146" s="1">
        <v>4312</v>
      </c>
      <c r="C146">
        <v>70488.2</v>
      </c>
      <c r="D146">
        <v>90.2</v>
      </c>
      <c r="E146">
        <v>1</v>
      </c>
      <c r="F146">
        <v>0</v>
      </c>
      <c r="G146">
        <v>0</v>
      </c>
      <c r="H146" t="s">
        <v>16</v>
      </c>
      <c r="L146" s="6">
        <v>107</v>
      </c>
      <c r="M146" s="6">
        <v>722684.77217127895</v>
      </c>
      <c r="N146" s="6">
        <v>72469.067828721018</v>
      </c>
    </row>
    <row r="147" spans="1:14">
      <c r="A147">
        <v>537058.32999999996</v>
      </c>
      <c r="B147" s="1">
        <v>3152</v>
      </c>
      <c r="C147">
        <v>50909.27</v>
      </c>
      <c r="D147">
        <v>93.7</v>
      </c>
      <c r="E147">
        <v>1</v>
      </c>
      <c r="F147">
        <v>0</v>
      </c>
      <c r="G147">
        <v>0</v>
      </c>
      <c r="H147" t="s">
        <v>16</v>
      </c>
      <c r="L147" s="6">
        <v>108</v>
      </c>
      <c r="M147" s="6">
        <v>665683.57417111937</v>
      </c>
      <c r="N147" s="6">
        <v>-88.634171119425446</v>
      </c>
    </row>
    <row r="148" spans="1:14">
      <c r="A148">
        <v>601568.87</v>
      </c>
      <c r="B148" s="1">
        <v>4259</v>
      </c>
      <c r="C148">
        <v>53351.7</v>
      </c>
      <c r="D148">
        <v>93.7</v>
      </c>
      <c r="E148">
        <v>1</v>
      </c>
      <c r="F148">
        <v>0</v>
      </c>
      <c r="G148">
        <v>0</v>
      </c>
      <c r="H148" t="s">
        <v>16</v>
      </c>
      <c r="L148" s="6">
        <v>109</v>
      </c>
      <c r="M148" s="6">
        <v>684495.23494348221</v>
      </c>
      <c r="N148" s="6">
        <v>24983.155056517804</v>
      </c>
    </row>
    <row r="149" spans="1:14">
      <c r="A149">
        <v>570964.84</v>
      </c>
      <c r="B149" s="1">
        <v>3350</v>
      </c>
      <c r="C149">
        <v>60322.400000000001</v>
      </c>
      <c r="D149">
        <v>89.4</v>
      </c>
      <c r="E149">
        <v>1</v>
      </c>
      <c r="F149">
        <v>0</v>
      </c>
      <c r="G149">
        <v>0</v>
      </c>
      <c r="H149" t="s">
        <v>16</v>
      </c>
      <c r="L149" s="6">
        <v>110</v>
      </c>
      <c r="M149" s="6">
        <v>666587.8187851531</v>
      </c>
      <c r="N149" s="6">
        <v>-2425.3287851531059</v>
      </c>
    </row>
    <row r="150" spans="1:14">
      <c r="A150">
        <v>614024.91</v>
      </c>
      <c r="B150" s="1">
        <v>5329</v>
      </c>
      <c r="C150">
        <v>51575.68</v>
      </c>
      <c r="D150">
        <v>88.1</v>
      </c>
      <c r="E150">
        <v>0</v>
      </c>
      <c r="F150">
        <v>0</v>
      </c>
      <c r="G150">
        <v>1</v>
      </c>
      <c r="H150" t="s">
        <v>28</v>
      </c>
      <c r="L150" s="6">
        <v>111</v>
      </c>
      <c r="M150" s="6">
        <v>661903.68565267732</v>
      </c>
      <c r="N150" s="6">
        <v>-28409.475652677356</v>
      </c>
    </row>
    <row r="151" spans="1:14">
      <c r="A151">
        <v>712868.35</v>
      </c>
      <c r="B151" s="1">
        <v>6551</v>
      </c>
      <c r="C151">
        <v>43319.94</v>
      </c>
      <c r="D151">
        <v>99</v>
      </c>
      <c r="E151">
        <v>0</v>
      </c>
      <c r="F151">
        <v>0</v>
      </c>
      <c r="G151">
        <v>1</v>
      </c>
      <c r="H151" t="s">
        <v>28</v>
      </c>
      <c r="L151" s="6">
        <v>112</v>
      </c>
      <c r="M151" s="6">
        <v>614751.11106973956</v>
      </c>
      <c r="N151" s="6">
        <v>98860.048930260469</v>
      </c>
    </row>
    <row r="152" spans="1:14">
      <c r="A152">
        <v>696744.15</v>
      </c>
      <c r="B152" s="1">
        <v>5550</v>
      </c>
      <c r="C152">
        <v>47093.55</v>
      </c>
      <c r="D152">
        <v>95</v>
      </c>
      <c r="E152">
        <v>0</v>
      </c>
      <c r="F152">
        <v>0</v>
      </c>
      <c r="G152">
        <v>1</v>
      </c>
      <c r="H152" t="s">
        <v>28</v>
      </c>
      <c r="L152" s="6">
        <v>113</v>
      </c>
      <c r="M152" s="6">
        <v>743238.48367846722</v>
      </c>
      <c r="N152" s="6">
        <v>35159.48632153275</v>
      </c>
    </row>
    <row r="153" spans="1:14">
      <c r="A153">
        <v>725847.99</v>
      </c>
      <c r="B153" s="1">
        <v>5911</v>
      </c>
      <c r="C153">
        <v>71855.09</v>
      </c>
      <c r="D153">
        <v>94.3</v>
      </c>
      <c r="E153">
        <v>0</v>
      </c>
      <c r="F153">
        <v>0</v>
      </c>
      <c r="G153">
        <v>1</v>
      </c>
      <c r="H153" t="s">
        <v>28</v>
      </c>
      <c r="L153" s="6">
        <v>114</v>
      </c>
      <c r="M153" s="6">
        <v>837745.05368552939</v>
      </c>
      <c r="N153" s="6">
        <v>35634.966314470628</v>
      </c>
    </row>
    <row r="154" spans="1:14">
      <c r="A154">
        <v>785028.25</v>
      </c>
      <c r="B154" s="1">
        <v>9674</v>
      </c>
      <c r="C154">
        <v>75645.23</v>
      </c>
      <c r="D154">
        <v>87.4</v>
      </c>
      <c r="E154">
        <v>0</v>
      </c>
      <c r="F154">
        <v>1</v>
      </c>
      <c r="G154">
        <v>0</v>
      </c>
      <c r="H154" t="s">
        <v>18</v>
      </c>
      <c r="L154" s="6">
        <v>115</v>
      </c>
      <c r="M154" s="6">
        <v>755980.83621071815</v>
      </c>
      <c r="N154" s="6">
        <v>-58692.936210718122</v>
      </c>
    </row>
    <row r="155" spans="1:14">
      <c r="A155">
        <v>698492.67</v>
      </c>
      <c r="B155" s="1">
        <v>6740</v>
      </c>
      <c r="C155">
        <v>64374.75</v>
      </c>
      <c r="D155">
        <v>87</v>
      </c>
      <c r="E155">
        <v>0</v>
      </c>
      <c r="F155">
        <v>1</v>
      </c>
      <c r="G155">
        <v>0</v>
      </c>
      <c r="H155" t="s">
        <v>18</v>
      </c>
      <c r="L155" s="6">
        <v>116</v>
      </c>
      <c r="M155" s="6">
        <v>760387.09846517188</v>
      </c>
      <c r="N155" s="6">
        <v>-42312.308465171838</v>
      </c>
    </row>
    <row r="156" spans="1:14">
      <c r="A156">
        <v>685830.24</v>
      </c>
      <c r="B156" s="1">
        <v>7745</v>
      </c>
      <c r="C156">
        <v>61433.84</v>
      </c>
      <c r="D156">
        <v>90.5</v>
      </c>
      <c r="E156">
        <v>0</v>
      </c>
      <c r="F156">
        <v>1</v>
      </c>
      <c r="G156">
        <v>0</v>
      </c>
      <c r="H156" t="s">
        <v>18</v>
      </c>
      <c r="L156" s="6">
        <v>117</v>
      </c>
      <c r="M156" s="6">
        <v>700165.9023361674</v>
      </c>
      <c r="N156" s="6">
        <v>14776.527663832647</v>
      </c>
    </row>
    <row r="157" spans="1:14">
      <c r="A157">
        <v>702318.94</v>
      </c>
      <c r="B157" s="1">
        <v>7693</v>
      </c>
      <c r="C157">
        <v>42698.14</v>
      </c>
      <c r="D157">
        <v>90.1</v>
      </c>
      <c r="E157">
        <v>0</v>
      </c>
      <c r="F157">
        <v>1</v>
      </c>
      <c r="G157">
        <v>0</v>
      </c>
      <c r="H157" t="s">
        <v>18</v>
      </c>
      <c r="L157" s="6">
        <v>118</v>
      </c>
      <c r="M157" s="6">
        <v>715770.95475402405</v>
      </c>
      <c r="N157" s="6">
        <v>104748.08524597599</v>
      </c>
    </row>
    <row r="158" spans="1:14">
      <c r="A158">
        <v>700078.32</v>
      </c>
      <c r="B158" s="1">
        <v>6424</v>
      </c>
      <c r="C158">
        <v>86883.31</v>
      </c>
      <c r="D158">
        <v>85.2</v>
      </c>
      <c r="E158">
        <v>0</v>
      </c>
      <c r="F158">
        <v>0</v>
      </c>
      <c r="G158">
        <v>1</v>
      </c>
      <c r="H158" t="s">
        <v>28</v>
      </c>
      <c r="L158" s="6">
        <v>119</v>
      </c>
      <c r="M158" s="6">
        <v>739712.24404236278</v>
      </c>
      <c r="N158" s="6">
        <v>-55494.924042362836</v>
      </c>
    </row>
    <row r="159" spans="1:14">
      <c r="A159">
        <v>602002.31999999995</v>
      </c>
      <c r="B159" s="1">
        <v>5400</v>
      </c>
      <c r="C159">
        <v>41863.08</v>
      </c>
      <c r="D159">
        <v>91.6</v>
      </c>
      <c r="E159">
        <v>0</v>
      </c>
      <c r="F159">
        <v>0</v>
      </c>
      <c r="G159">
        <v>1</v>
      </c>
      <c r="H159" t="s">
        <v>28</v>
      </c>
      <c r="L159" s="6">
        <v>120</v>
      </c>
      <c r="M159" s="6">
        <v>727671.00744504528</v>
      </c>
      <c r="N159" s="6">
        <v>7809.1825549546629</v>
      </c>
    </row>
    <row r="160" spans="1:14">
      <c r="A160">
        <v>724216.07</v>
      </c>
      <c r="B160" s="1">
        <v>7015</v>
      </c>
      <c r="C160">
        <v>56918.16</v>
      </c>
      <c r="D160">
        <v>74.2</v>
      </c>
      <c r="E160">
        <v>0</v>
      </c>
      <c r="F160">
        <v>0</v>
      </c>
      <c r="G160">
        <v>1</v>
      </c>
      <c r="H160" t="s">
        <v>28</v>
      </c>
      <c r="L160" s="6">
        <v>121</v>
      </c>
      <c r="M160" s="6">
        <v>558950.95244630775</v>
      </c>
      <c r="N160" s="6">
        <v>-49466.142446307756</v>
      </c>
    </row>
    <row r="161" spans="1:14">
      <c r="A161">
        <v>620973.03</v>
      </c>
      <c r="B161" s="1">
        <v>3847</v>
      </c>
      <c r="C161">
        <v>23254.57</v>
      </c>
      <c r="D161">
        <v>93</v>
      </c>
      <c r="E161">
        <v>0</v>
      </c>
      <c r="F161">
        <v>0</v>
      </c>
      <c r="G161">
        <v>1</v>
      </c>
      <c r="H161" t="s">
        <v>28</v>
      </c>
      <c r="L161" s="6">
        <v>122</v>
      </c>
      <c r="M161" s="6">
        <v>619263.67449874466</v>
      </c>
      <c r="N161" s="6">
        <v>35053.415501255309</v>
      </c>
    </row>
    <row r="162" spans="1:14">
      <c r="A162">
        <v>650480.06000000006</v>
      </c>
      <c r="B162" s="1">
        <v>7455</v>
      </c>
      <c r="C162">
        <v>41443.410000000003</v>
      </c>
      <c r="D162">
        <v>90.1</v>
      </c>
      <c r="E162">
        <v>0</v>
      </c>
      <c r="F162">
        <v>1</v>
      </c>
      <c r="G162">
        <v>0</v>
      </c>
      <c r="H162" t="s">
        <v>18</v>
      </c>
      <c r="L162" s="6">
        <v>123</v>
      </c>
      <c r="M162" s="6">
        <v>591715.67673362419</v>
      </c>
      <c r="N162" s="6">
        <v>-34228.416733624181</v>
      </c>
    </row>
    <row r="163" spans="1:14">
      <c r="A163">
        <v>778298.88</v>
      </c>
      <c r="B163" s="1">
        <v>6992</v>
      </c>
      <c r="C163">
        <v>48438.85</v>
      </c>
      <c r="D163">
        <v>91</v>
      </c>
      <c r="E163">
        <v>0</v>
      </c>
      <c r="F163">
        <v>1</v>
      </c>
      <c r="G163">
        <v>0</v>
      </c>
      <c r="H163" t="s">
        <v>18</v>
      </c>
      <c r="L163" s="6">
        <v>124</v>
      </c>
      <c r="M163" s="6">
        <v>509479.79332295229</v>
      </c>
      <c r="N163" s="6">
        <v>-68204.373322952306</v>
      </c>
    </row>
    <row r="164" spans="1:14">
      <c r="A164">
        <v>677096.71</v>
      </c>
      <c r="B164" s="1">
        <v>8038</v>
      </c>
      <c r="C164">
        <v>57143.3</v>
      </c>
      <c r="D164">
        <v>72.599999999999994</v>
      </c>
      <c r="E164">
        <v>0</v>
      </c>
      <c r="F164">
        <v>1</v>
      </c>
      <c r="G164">
        <v>0</v>
      </c>
      <c r="H164" t="s">
        <v>18</v>
      </c>
      <c r="L164" s="6">
        <v>125</v>
      </c>
      <c r="M164" s="6">
        <v>815726.56529729522</v>
      </c>
      <c r="N164" s="6">
        <v>98817.604702704819</v>
      </c>
    </row>
    <row r="165" spans="1:14">
      <c r="A165">
        <v>692008.64</v>
      </c>
      <c r="B165" s="1">
        <v>6055</v>
      </c>
      <c r="C165">
        <v>66870.62</v>
      </c>
      <c r="D165">
        <v>93.8</v>
      </c>
      <c r="E165">
        <v>0</v>
      </c>
      <c r="F165">
        <v>1</v>
      </c>
      <c r="G165">
        <v>0</v>
      </c>
      <c r="H165" t="s">
        <v>18</v>
      </c>
      <c r="L165" s="6">
        <v>126</v>
      </c>
      <c r="M165" s="6">
        <v>850111.51797779836</v>
      </c>
      <c r="N165" s="6">
        <v>-7671.8479777983157</v>
      </c>
    </row>
    <row r="166" spans="1:14">
      <c r="A166">
        <v>825797.91</v>
      </c>
      <c r="B166" s="1">
        <v>9323</v>
      </c>
      <c r="C166">
        <v>72150.53</v>
      </c>
      <c r="D166">
        <v>82.9</v>
      </c>
      <c r="E166">
        <v>0</v>
      </c>
      <c r="F166">
        <v>0</v>
      </c>
      <c r="G166">
        <v>1</v>
      </c>
      <c r="H166" t="s">
        <v>28</v>
      </c>
      <c r="L166" s="6">
        <v>127</v>
      </c>
      <c r="M166" s="6">
        <v>782434.01496423862</v>
      </c>
      <c r="N166" s="6">
        <v>59723.905035761418</v>
      </c>
    </row>
    <row r="167" spans="1:14">
      <c r="A167">
        <v>706285.52</v>
      </c>
      <c r="B167" s="1">
        <v>8789</v>
      </c>
      <c r="C167">
        <v>35303.300000000003</v>
      </c>
      <c r="D167">
        <v>86.1</v>
      </c>
      <c r="E167">
        <v>0</v>
      </c>
      <c r="F167">
        <v>0</v>
      </c>
      <c r="G167">
        <v>1</v>
      </c>
      <c r="H167" t="s">
        <v>28</v>
      </c>
      <c r="L167" s="6">
        <v>128</v>
      </c>
      <c r="M167" s="6">
        <v>694346.60082103324</v>
      </c>
      <c r="N167" s="6">
        <v>2808.69917896681</v>
      </c>
    </row>
    <row r="168" spans="1:14">
      <c r="A168">
        <v>665534.69999999995</v>
      </c>
      <c r="B168" s="1">
        <v>6939</v>
      </c>
      <c r="C168">
        <v>30301.86</v>
      </c>
      <c r="D168">
        <v>90.3</v>
      </c>
      <c r="E168">
        <v>0</v>
      </c>
      <c r="F168">
        <v>0</v>
      </c>
      <c r="G168">
        <v>1</v>
      </c>
      <c r="H168" t="s">
        <v>28</v>
      </c>
      <c r="L168" s="6">
        <v>129</v>
      </c>
      <c r="M168" s="6">
        <v>829358.37844323553</v>
      </c>
      <c r="N168" s="6">
        <v>19659.921556764515</v>
      </c>
    </row>
    <row r="169" spans="1:14">
      <c r="A169">
        <v>820729.29</v>
      </c>
      <c r="B169" s="1">
        <v>9440</v>
      </c>
      <c r="C169">
        <v>78432.14</v>
      </c>
      <c r="D169">
        <v>89.2</v>
      </c>
      <c r="E169">
        <v>0</v>
      </c>
      <c r="F169">
        <v>0</v>
      </c>
      <c r="G169">
        <v>1</v>
      </c>
      <c r="H169" t="s">
        <v>28</v>
      </c>
      <c r="L169" s="6">
        <v>130</v>
      </c>
      <c r="M169" s="6">
        <v>809412.65844096616</v>
      </c>
      <c r="N169" s="6">
        <v>-7582.3084409661824</v>
      </c>
    </row>
    <row r="170" spans="1:14">
      <c r="A170">
        <v>739831.73</v>
      </c>
      <c r="B170" s="1">
        <v>9374</v>
      </c>
      <c r="C170">
        <v>62059.18</v>
      </c>
      <c r="D170">
        <v>87.1</v>
      </c>
      <c r="E170">
        <v>1</v>
      </c>
      <c r="F170">
        <v>0</v>
      </c>
      <c r="G170">
        <v>0</v>
      </c>
      <c r="H170" t="s">
        <v>16</v>
      </c>
      <c r="L170" s="6">
        <v>131</v>
      </c>
      <c r="M170" s="6">
        <v>794298.18932925421</v>
      </c>
      <c r="N170" s="6">
        <v>-69062.90932925418</v>
      </c>
    </row>
    <row r="171" spans="1:14">
      <c r="A171">
        <v>593637.14</v>
      </c>
      <c r="B171" s="1">
        <v>7576</v>
      </c>
      <c r="C171">
        <v>32834.480000000003</v>
      </c>
      <c r="D171">
        <v>84.1</v>
      </c>
      <c r="E171">
        <v>1</v>
      </c>
      <c r="F171">
        <v>0</v>
      </c>
      <c r="G171">
        <v>0</v>
      </c>
      <c r="H171" t="s">
        <v>16</v>
      </c>
      <c r="L171" s="6">
        <v>132</v>
      </c>
      <c r="M171" s="6">
        <v>826835.25721962343</v>
      </c>
      <c r="N171" s="6">
        <v>-15382.537219623453</v>
      </c>
    </row>
    <row r="172" spans="1:14">
      <c r="A172">
        <v>769702.76</v>
      </c>
      <c r="B172" s="1">
        <v>8949</v>
      </c>
      <c r="C172">
        <v>50825.08</v>
      </c>
      <c r="D172">
        <v>84.7</v>
      </c>
      <c r="E172">
        <v>1</v>
      </c>
      <c r="F172">
        <v>0</v>
      </c>
      <c r="G172">
        <v>0</v>
      </c>
      <c r="H172" t="s">
        <v>16</v>
      </c>
      <c r="L172" s="6">
        <v>133</v>
      </c>
      <c r="M172" s="6">
        <v>577717.24708481482</v>
      </c>
      <c r="N172" s="6">
        <v>-50417.117084814818</v>
      </c>
    </row>
    <row r="173" spans="1:14">
      <c r="A173">
        <v>679731.57</v>
      </c>
      <c r="B173" s="1">
        <v>7671</v>
      </c>
      <c r="C173">
        <v>36606.51</v>
      </c>
      <c r="D173">
        <v>89.8</v>
      </c>
      <c r="E173">
        <v>1</v>
      </c>
      <c r="F173">
        <v>0</v>
      </c>
      <c r="G173">
        <v>0</v>
      </c>
      <c r="H173" t="s">
        <v>16</v>
      </c>
      <c r="L173" s="6">
        <v>134</v>
      </c>
      <c r="M173" s="6">
        <v>458769.61877747759</v>
      </c>
      <c r="N173" s="6">
        <v>-57937.968777477567</v>
      </c>
    </row>
    <row r="174" spans="1:14">
      <c r="A174">
        <v>780344.18</v>
      </c>
      <c r="B174" s="1">
        <v>8741</v>
      </c>
      <c r="C174">
        <v>65237.79</v>
      </c>
      <c r="D174">
        <v>94.4</v>
      </c>
      <c r="E174">
        <v>1</v>
      </c>
      <c r="F174">
        <v>0</v>
      </c>
      <c r="G174">
        <v>0</v>
      </c>
      <c r="H174" t="s">
        <v>16</v>
      </c>
      <c r="L174" s="6">
        <v>135</v>
      </c>
      <c r="M174" s="6">
        <v>599500.02264865639</v>
      </c>
      <c r="N174" s="6">
        <v>-6252.7726486563915</v>
      </c>
    </row>
    <row r="175" spans="1:14">
      <c r="A175">
        <v>721364.11</v>
      </c>
      <c r="B175" s="1">
        <v>9480</v>
      </c>
      <c r="C175">
        <v>43645.98</v>
      </c>
      <c r="D175">
        <v>89</v>
      </c>
      <c r="E175">
        <v>1</v>
      </c>
      <c r="F175">
        <v>0</v>
      </c>
      <c r="G175">
        <v>0</v>
      </c>
      <c r="H175" t="s">
        <v>16</v>
      </c>
      <c r="L175" s="6">
        <v>136</v>
      </c>
      <c r="M175" s="6">
        <v>547265.03011715459</v>
      </c>
      <c r="N175" s="6">
        <v>-18189.080117154634</v>
      </c>
    </row>
    <row r="176" spans="1:14">
      <c r="A176">
        <v>758138.29</v>
      </c>
      <c r="B176" s="1">
        <v>9826</v>
      </c>
      <c r="C176">
        <v>68040.149999999994</v>
      </c>
      <c r="D176">
        <v>83.9</v>
      </c>
      <c r="E176">
        <v>1</v>
      </c>
      <c r="F176">
        <v>0</v>
      </c>
      <c r="G176">
        <v>0</v>
      </c>
      <c r="H176" t="s">
        <v>16</v>
      </c>
      <c r="L176" s="6">
        <v>137</v>
      </c>
      <c r="M176" s="6">
        <v>695429.66404482932</v>
      </c>
      <c r="N176" s="6">
        <v>-61791.63404482929</v>
      </c>
    </row>
    <row r="177" spans="1:14">
      <c r="A177">
        <v>804264</v>
      </c>
      <c r="B177" s="1">
        <v>10402</v>
      </c>
      <c r="C177">
        <v>63043.94</v>
      </c>
      <c r="D177">
        <v>93.9</v>
      </c>
      <c r="E177">
        <v>1</v>
      </c>
      <c r="F177">
        <v>0</v>
      </c>
      <c r="G177">
        <v>0</v>
      </c>
      <c r="H177" t="s">
        <v>16</v>
      </c>
      <c r="L177" s="6">
        <v>138</v>
      </c>
      <c r="M177" s="6">
        <v>700257.80867959303</v>
      </c>
      <c r="N177" s="6">
        <v>43091.031320406939</v>
      </c>
    </row>
    <row r="178" spans="1:14">
      <c r="A178">
        <v>887537.75</v>
      </c>
      <c r="B178" s="1">
        <v>12361</v>
      </c>
      <c r="C178">
        <v>67494.09</v>
      </c>
      <c r="D178">
        <v>76.599999999999994</v>
      </c>
      <c r="E178">
        <v>0</v>
      </c>
      <c r="F178">
        <v>0</v>
      </c>
      <c r="G178">
        <v>0</v>
      </c>
      <c r="H178" t="s">
        <v>21</v>
      </c>
      <c r="L178" s="6">
        <v>139</v>
      </c>
      <c r="M178" s="6">
        <v>685406.36574427108</v>
      </c>
      <c r="N178" s="6">
        <v>73421.274255728931</v>
      </c>
    </row>
    <row r="179" spans="1:14">
      <c r="A179">
        <v>783582</v>
      </c>
      <c r="B179" s="1">
        <v>7925</v>
      </c>
      <c r="C179">
        <v>29389.32</v>
      </c>
      <c r="D179">
        <v>90.9</v>
      </c>
      <c r="E179">
        <v>0</v>
      </c>
      <c r="F179">
        <v>0</v>
      </c>
      <c r="G179">
        <v>0</v>
      </c>
      <c r="H179" t="s">
        <v>21</v>
      </c>
      <c r="L179" s="6">
        <v>140</v>
      </c>
      <c r="M179" s="6">
        <v>618364.36757893395</v>
      </c>
      <c r="N179" s="6">
        <v>28195.342421066016</v>
      </c>
    </row>
    <row r="180" spans="1:14">
      <c r="A180">
        <v>781955.52</v>
      </c>
      <c r="B180" s="1">
        <v>8870</v>
      </c>
      <c r="C180">
        <v>40535.089999999997</v>
      </c>
      <c r="D180">
        <v>86.6</v>
      </c>
      <c r="E180">
        <v>0</v>
      </c>
      <c r="F180">
        <v>0</v>
      </c>
      <c r="G180">
        <v>0</v>
      </c>
      <c r="H180" t="s">
        <v>21</v>
      </c>
      <c r="L180" s="6">
        <v>141</v>
      </c>
      <c r="M180" s="6">
        <v>672282.98404698237</v>
      </c>
      <c r="N180" s="6">
        <v>43607.545953017659</v>
      </c>
    </row>
    <row r="181" spans="1:14">
      <c r="A181">
        <v>898031.04</v>
      </c>
      <c r="B181" s="1">
        <v>9999</v>
      </c>
      <c r="C181">
        <v>74881.56</v>
      </c>
      <c r="D181">
        <v>89.6</v>
      </c>
      <c r="E181">
        <v>0</v>
      </c>
      <c r="F181">
        <v>0</v>
      </c>
      <c r="G181">
        <v>0</v>
      </c>
      <c r="H181" t="s">
        <v>21</v>
      </c>
      <c r="L181" s="6">
        <v>142</v>
      </c>
      <c r="M181" s="6">
        <v>691417.93904784927</v>
      </c>
      <c r="N181" s="6">
        <v>23679.630952150677</v>
      </c>
    </row>
    <row r="182" spans="1:14">
      <c r="A182">
        <v>855341.28</v>
      </c>
      <c r="B182" s="1">
        <v>11154</v>
      </c>
      <c r="C182">
        <v>68491.11</v>
      </c>
      <c r="D182">
        <v>89.4</v>
      </c>
      <c r="E182">
        <v>1</v>
      </c>
      <c r="F182">
        <v>0</v>
      </c>
      <c r="G182">
        <v>0</v>
      </c>
      <c r="H182" t="s">
        <v>16</v>
      </c>
      <c r="L182" s="6">
        <v>143</v>
      </c>
      <c r="M182" s="6">
        <v>636320.99186429859</v>
      </c>
      <c r="N182" s="6">
        <v>46318.288135701441</v>
      </c>
    </row>
    <row r="183" spans="1:14">
      <c r="A183">
        <v>751393.88</v>
      </c>
      <c r="B183" s="1">
        <v>9287</v>
      </c>
      <c r="C183">
        <v>45209.25</v>
      </c>
      <c r="D183">
        <v>86.4</v>
      </c>
      <c r="E183">
        <v>1</v>
      </c>
      <c r="F183">
        <v>0</v>
      </c>
      <c r="G183">
        <v>0</v>
      </c>
      <c r="H183" t="s">
        <v>16</v>
      </c>
      <c r="L183" s="6">
        <v>144</v>
      </c>
      <c r="M183" s="6">
        <v>675375.27074981062</v>
      </c>
      <c r="N183" s="6">
        <v>19723.239250189392</v>
      </c>
    </row>
    <row r="184" spans="1:14">
      <c r="A184">
        <v>761077.08</v>
      </c>
      <c r="B184" s="1">
        <v>9812</v>
      </c>
      <c r="C184">
        <v>63010.23</v>
      </c>
      <c r="D184">
        <v>76.8</v>
      </c>
      <c r="E184">
        <v>1</v>
      </c>
      <c r="F184">
        <v>0</v>
      </c>
      <c r="G184">
        <v>0</v>
      </c>
      <c r="H184" t="s">
        <v>16</v>
      </c>
      <c r="L184" s="6">
        <v>145</v>
      </c>
      <c r="M184" s="6">
        <v>611059.14708309132</v>
      </c>
      <c r="N184" s="6">
        <v>-33326.577083091368</v>
      </c>
    </row>
    <row r="185" spans="1:14">
      <c r="A185">
        <v>819660.59</v>
      </c>
      <c r="B185" s="1">
        <v>10741</v>
      </c>
      <c r="C185">
        <v>57948.88</v>
      </c>
      <c r="D185">
        <v>90.1</v>
      </c>
      <c r="E185">
        <v>1</v>
      </c>
      <c r="F185">
        <v>0</v>
      </c>
      <c r="G185">
        <v>0</v>
      </c>
      <c r="H185" t="s">
        <v>16</v>
      </c>
      <c r="L185" s="6">
        <v>146</v>
      </c>
      <c r="M185" s="6">
        <v>559667.87656329758</v>
      </c>
      <c r="N185" s="6">
        <v>-22609.546563297627</v>
      </c>
    </row>
    <row r="186" spans="1:14">
      <c r="A186">
        <v>681855.56</v>
      </c>
      <c r="B186" s="1">
        <v>6084</v>
      </c>
      <c r="C186">
        <v>71941.62</v>
      </c>
      <c r="D186">
        <v>93.7</v>
      </c>
      <c r="E186">
        <v>0</v>
      </c>
      <c r="F186">
        <v>1</v>
      </c>
      <c r="G186">
        <v>0</v>
      </c>
      <c r="H186" t="s">
        <v>18</v>
      </c>
      <c r="L186" s="6">
        <v>147</v>
      </c>
      <c r="M186" s="6">
        <v>599829.60850264854</v>
      </c>
      <c r="N186" s="6">
        <v>1739.2614973514574</v>
      </c>
    </row>
    <row r="187" spans="1:14">
      <c r="A187">
        <v>678311.17</v>
      </c>
      <c r="B187" s="1">
        <v>5252</v>
      </c>
      <c r="C187">
        <v>57147.88</v>
      </c>
      <c r="D187">
        <v>95.5</v>
      </c>
      <c r="E187">
        <v>0</v>
      </c>
      <c r="F187">
        <v>1</v>
      </c>
      <c r="G187">
        <v>0</v>
      </c>
      <c r="H187" t="s">
        <v>18</v>
      </c>
      <c r="L187" s="6">
        <v>148</v>
      </c>
      <c r="M187" s="6">
        <v>564243.0702294251</v>
      </c>
      <c r="N187" s="6">
        <v>6721.7697705748724</v>
      </c>
    </row>
    <row r="188" spans="1:14">
      <c r="A188">
        <v>765906.95</v>
      </c>
      <c r="B188" s="1">
        <v>6516</v>
      </c>
      <c r="C188">
        <v>48031.74</v>
      </c>
      <c r="D188">
        <v>99</v>
      </c>
      <c r="E188">
        <v>0</v>
      </c>
      <c r="F188">
        <v>1</v>
      </c>
      <c r="G188">
        <v>0</v>
      </c>
      <c r="H188" t="s">
        <v>18</v>
      </c>
      <c r="L188" s="6">
        <v>149</v>
      </c>
      <c r="M188" s="6">
        <v>644976.70132079278</v>
      </c>
      <c r="N188" s="6">
        <v>-30951.791320792749</v>
      </c>
    </row>
    <row r="189" spans="1:14">
      <c r="A189">
        <v>712546.38</v>
      </c>
      <c r="B189" s="1">
        <v>7932</v>
      </c>
      <c r="C189">
        <v>72784.800000000003</v>
      </c>
      <c r="D189">
        <v>74.900000000000006</v>
      </c>
      <c r="E189">
        <v>0</v>
      </c>
      <c r="F189">
        <v>1</v>
      </c>
      <c r="G189">
        <v>0</v>
      </c>
      <c r="H189" t="s">
        <v>18</v>
      </c>
      <c r="L189" s="6">
        <v>150</v>
      </c>
      <c r="M189" s="6">
        <v>709809.4516769445</v>
      </c>
      <c r="N189" s="6">
        <v>3058.8983230554732</v>
      </c>
    </row>
    <row r="190" spans="1:14">
      <c r="A190">
        <v>625993.82999999996</v>
      </c>
      <c r="B190" s="1">
        <v>3506</v>
      </c>
      <c r="C190">
        <v>71641.899999999994</v>
      </c>
      <c r="D190">
        <v>86.4</v>
      </c>
      <c r="E190">
        <v>0</v>
      </c>
      <c r="F190">
        <v>1</v>
      </c>
      <c r="G190">
        <v>0</v>
      </c>
      <c r="H190" t="s">
        <v>18</v>
      </c>
      <c r="L190" s="6">
        <v>151</v>
      </c>
      <c r="M190" s="6">
        <v>668280.87807197077</v>
      </c>
      <c r="N190" s="6">
        <v>28463.271928029251</v>
      </c>
    </row>
    <row r="191" spans="1:14">
      <c r="A191">
        <v>550962.93000000005</v>
      </c>
      <c r="B191" s="1">
        <v>2312</v>
      </c>
      <c r="C191">
        <v>55788.61</v>
      </c>
      <c r="D191">
        <v>91.3</v>
      </c>
      <c r="E191">
        <v>0</v>
      </c>
      <c r="F191">
        <v>1</v>
      </c>
      <c r="G191">
        <v>0</v>
      </c>
      <c r="H191" t="s">
        <v>18</v>
      </c>
      <c r="L191" s="6">
        <v>152</v>
      </c>
      <c r="M191" s="6">
        <v>707433.58326658909</v>
      </c>
      <c r="N191" s="6">
        <v>18414.406733410899</v>
      </c>
    </row>
    <row r="192" spans="1:14">
      <c r="A192">
        <v>443275.59</v>
      </c>
      <c r="B192" s="1">
        <v>1268</v>
      </c>
      <c r="C192">
        <v>37705.879999999997</v>
      </c>
      <c r="D192">
        <v>84.1</v>
      </c>
      <c r="E192">
        <v>0</v>
      </c>
      <c r="F192">
        <v>1</v>
      </c>
      <c r="G192">
        <v>0</v>
      </c>
      <c r="H192" t="s">
        <v>18</v>
      </c>
      <c r="L192" s="6">
        <v>153</v>
      </c>
      <c r="M192" s="6">
        <v>805859.21980717662</v>
      </c>
      <c r="N192" s="6">
        <v>-20830.969807176618</v>
      </c>
    </row>
    <row r="193" spans="1:14">
      <c r="A193">
        <v>554012.06999999995</v>
      </c>
      <c r="B193" s="1">
        <v>4423</v>
      </c>
      <c r="C193">
        <v>54966.18</v>
      </c>
      <c r="D193">
        <v>88.7</v>
      </c>
      <c r="E193">
        <v>0</v>
      </c>
      <c r="F193">
        <v>1</v>
      </c>
      <c r="G193">
        <v>0</v>
      </c>
      <c r="H193" t="s">
        <v>18</v>
      </c>
      <c r="L193" s="6">
        <v>154</v>
      </c>
      <c r="M193" s="6">
        <v>692544.42828057008</v>
      </c>
      <c r="N193" s="6">
        <v>5948.2417194299633</v>
      </c>
    </row>
    <row r="194" spans="1:14">
      <c r="A194">
        <v>643428.85</v>
      </c>
      <c r="B194" s="1">
        <v>6177</v>
      </c>
      <c r="C194">
        <v>81796.740000000005</v>
      </c>
      <c r="D194">
        <v>87.9</v>
      </c>
      <c r="E194">
        <v>1</v>
      </c>
      <c r="F194">
        <v>0</v>
      </c>
      <c r="G194">
        <v>0</v>
      </c>
      <c r="H194" t="s">
        <v>16</v>
      </c>
      <c r="L194" s="6">
        <v>155</v>
      </c>
      <c r="M194" s="6">
        <v>733656.11011676281</v>
      </c>
      <c r="N194" s="6">
        <v>-47825.870116762817</v>
      </c>
    </row>
    <row r="195" spans="1:14">
      <c r="A195">
        <v>611924.27</v>
      </c>
      <c r="B195" s="1">
        <v>5150</v>
      </c>
      <c r="C195">
        <v>51133.43</v>
      </c>
      <c r="D195">
        <v>88.5</v>
      </c>
      <c r="E195">
        <v>1</v>
      </c>
      <c r="F195">
        <v>0</v>
      </c>
      <c r="G195">
        <v>0</v>
      </c>
      <c r="H195" t="s">
        <v>16</v>
      </c>
      <c r="L195" s="6">
        <v>156</v>
      </c>
      <c r="M195" s="6">
        <v>708633.02836882672</v>
      </c>
      <c r="N195" s="6">
        <v>-6314.0883688267786</v>
      </c>
    </row>
    <row r="196" spans="1:14">
      <c r="A196">
        <v>559422.02</v>
      </c>
      <c r="B196" s="1">
        <v>3783</v>
      </c>
      <c r="C196">
        <v>40220.18</v>
      </c>
      <c r="D196">
        <v>86.6</v>
      </c>
      <c r="E196">
        <v>1</v>
      </c>
      <c r="F196">
        <v>0</v>
      </c>
      <c r="G196">
        <v>0</v>
      </c>
      <c r="H196" t="s">
        <v>16</v>
      </c>
      <c r="L196" s="6">
        <v>157</v>
      </c>
      <c r="M196" s="6">
        <v>714524.31506449287</v>
      </c>
      <c r="N196" s="6">
        <v>-14445.995064492919</v>
      </c>
    </row>
    <row r="197" spans="1:14">
      <c r="A197">
        <v>449465.06</v>
      </c>
      <c r="B197" s="1">
        <v>3135</v>
      </c>
      <c r="C197">
        <v>41657.64</v>
      </c>
      <c r="D197">
        <v>85.4</v>
      </c>
      <c r="E197">
        <v>1</v>
      </c>
      <c r="F197">
        <v>0</v>
      </c>
      <c r="G197">
        <v>0</v>
      </c>
      <c r="H197" t="s">
        <v>16</v>
      </c>
      <c r="L197" s="6">
        <v>158</v>
      </c>
      <c r="M197" s="6">
        <v>646659.65442796564</v>
      </c>
      <c r="N197" s="6">
        <v>-44657.334427965689</v>
      </c>
    </row>
    <row r="198" spans="1:14">
      <c r="A198">
        <v>691447.43</v>
      </c>
      <c r="B198" s="1">
        <v>4970</v>
      </c>
      <c r="C198">
        <v>71851.45</v>
      </c>
      <c r="D198">
        <v>89.6</v>
      </c>
      <c r="E198">
        <v>1</v>
      </c>
      <c r="F198">
        <v>0</v>
      </c>
      <c r="G198">
        <v>0</v>
      </c>
      <c r="H198" t="s">
        <v>16</v>
      </c>
      <c r="L198" s="6">
        <v>159</v>
      </c>
      <c r="M198" s="6">
        <v>665478.93854995526</v>
      </c>
      <c r="N198" s="6">
        <v>58737.13145004469</v>
      </c>
    </row>
    <row r="199" spans="1:14">
      <c r="A199">
        <v>574066.61</v>
      </c>
      <c r="B199" s="1">
        <v>4366</v>
      </c>
      <c r="C199">
        <v>54002.83</v>
      </c>
      <c r="D199">
        <v>90.6</v>
      </c>
      <c r="E199">
        <v>1</v>
      </c>
      <c r="F199">
        <v>0</v>
      </c>
      <c r="G199">
        <v>0</v>
      </c>
      <c r="H199" t="s">
        <v>16</v>
      </c>
      <c r="L199" s="6">
        <v>160</v>
      </c>
      <c r="M199" s="6">
        <v>576740.47452322149</v>
      </c>
      <c r="N199" s="6">
        <v>44232.555476778536</v>
      </c>
    </row>
    <row r="200" spans="1:14">
      <c r="A200">
        <v>578949.84</v>
      </c>
      <c r="B200" s="1">
        <v>5012</v>
      </c>
      <c r="C200">
        <v>54479.33</v>
      </c>
      <c r="D200">
        <v>86</v>
      </c>
      <c r="E200">
        <v>1</v>
      </c>
      <c r="F200">
        <v>0</v>
      </c>
      <c r="G200">
        <v>0</v>
      </c>
      <c r="H200" t="s">
        <v>16</v>
      </c>
      <c r="L200" s="6">
        <v>161</v>
      </c>
      <c r="M200" s="6">
        <v>699139.89271878952</v>
      </c>
      <c r="N200" s="6">
        <v>-48659.832718789461</v>
      </c>
    </row>
    <row r="201" spans="1:14">
      <c r="A201">
        <v>735786.64</v>
      </c>
      <c r="B201" s="1">
        <v>5575</v>
      </c>
      <c r="C201">
        <v>61391.8</v>
      </c>
      <c r="D201">
        <v>90</v>
      </c>
      <c r="E201">
        <v>1</v>
      </c>
      <c r="F201">
        <v>0</v>
      </c>
      <c r="G201">
        <v>0</v>
      </c>
      <c r="H201" t="s">
        <v>16</v>
      </c>
      <c r="L201" s="6">
        <v>162</v>
      </c>
      <c r="M201" s="6">
        <v>694532.59684237547</v>
      </c>
      <c r="N201" s="6">
        <v>83766.283157624537</v>
      </c>
    </row>
    <row r="202" spans="1:14">
      <c r="A202">
        <v>598904.9</v>
      </c>
      <c r="B202" s="1">
        <v>5955</v>
      </c>
      <c r="C202">
        <v>22312.93</v>
      </c>
      <c r="D202">
        <v>84.2</v>
      </c>
      <c r="E202">
        <v>0</v>
      </c>
      <c r="F202">
        <v>0</v>
      </c>
      <c r="G202">
        <v>0</v>
      </c>
      <c r="H202" t="s">
        <v>21</v>
      </c>
      <c r="L202" s="6">
        <v>163</v>
      </c>
      <c r="M202" s="6">
        <v>683650.18540906243</v>
      </c>
      <c r="N202" s="6">
        <v>-6553.4754090624629</v>
      </c>
    </row>
    <row r="203" spans="1:14">
      <c r="A203">
        <v>787715.51</v>
      </c>
      <c r="B203" s="1">
        <v>6389</v>
      </c>
      <c r="C203">
        <v>78111.97</v>
      </c>
      <c r="D203">
        <v>83.9</v>
      </c>
      <c r="E203">
        <v>0</v>
      </c>
      <c r="F203">
        <v>0</v>
      </c>
      <c r="G203">
        <v>0</v>
      </c>
      <c r="H203" t="s">
        <v>21</v>
      </c>
      <c r="L203" s="6">
        <v>164</v>
      </c>
      <c r="M203" s="6">
        <v>693236.03024562798</v>
      </c>
      <c r="N203" s="6">
        <v>-1227.3902456279611</v>
      </c>
    </row>
    <row r="204" spans="1:14">
      <c r="A204">
        <v>607084.92000000004</v>
      </c>
      <c r="B204" s="1">
        <v>6896</v>
      </c>
      <c r="C204">
        <v>35203.230000000003</v>
      </c>
      <c r="D204">
        <v>80.8</v>
      </c>
      <c r="E204">
        <v>0</v>
      </c>
      <c r="F204">
        <v>0</v>
      </c>
      <c r="G204">
        <v>0</v>
      </c>
      <c r="H204" t="s">
        <v>21</v>
      </c>
      <c r="L204" s="6">
        <v>165</v>
      </c>
      <c r="M204" s="6">
        <v>787792.13465797249</v>
      </c>
      <c r="N204" s="6">
        <v>38005.77534202754</v>
      </c>
    </row>
    <row r="205" spans="1:14">
      <c r="A205">
        <v>650795.49</v>
      </c>
      <c r="B205" s="1">
        <v>6015</v>
      </c>
      <c r="C205">
        <v>64104.28</v>
      </c>
      <c r="D205">
        <v>88.7</v>
      </c>
      <c r="E205">
        <v>0</v>
      </c>
      <c r="F205">
        <v>0</v>
      </c>
      <c r="G205">
        <v>0</v>
      </c>
      <c r="H205" t="s">
        <v>21</v>
      </c>
      <c r="L205" s="6">
        <v>166</v>
      </c>
      <c r="M205" s="6">
        <v>736248.23343111109</v>
      </c>
      <c r="N205" s="6">
        <v>-29962.713431111071</v>
      </c>
    </row>
    <row r="206" spans="1:14">
      <c r="A206">
        <v>825060.52</v>
      </c>
      <c r="B206" s="1">
        <v>9476</v>
      </c>
      <c r="C206">
        <v>92090.14</v>
      </c>
      <c r="D206">
        <v>94.3</v>
      </c>
      <c r="E206">
        <v>0</v>
      </c>
      <c r="F206">
        <v>0</v>
      </c>
      <c r="G206">
        <v>1</v>
      </c>
      <c r="H206" t="s">
        <v>28</v>
      </c>
      <c r="L206" s="6">
        <v>167</v>
      </c>
      <c r="M206" s="6">
        <v>680912.73316243838</v>
      </c>
      <c r="N206" s="6">
        <v>-15378.033162438427</v>
      </c>
    </row>
    <row r="207" spans="1:14">
      <c r="A207">
        <v>795464.47</v>
      </c>
      <c r="B207" s="1">
        <v>7875</v>
      </c>
      <c r="C207">
        <v>54300.87</v>
      </c>
      <c r="D207">
        <v>94.1</v>
      </c>
      <c r="E207">
        <v>0</v>
      </c>
      <c r="F207">
        <v>0</v>
      </c>
      <c r="G207">
        <v>1</v>
      </c>
      <c r="H207" t="s">
        <v>28</v>
      </c>
      <c r="L207" s="6">
        <v>168</v>
      </c>
      <c r="M207" s="6">
        <v>818421.18902289448</v>
      </c>
      <c r="N207" s="6">
        <v>2308.1009771055542</v>
      </c>
    </row>
    <row r="208" spans="1:14">
      <c r="A208">
        <v>671868.59</v>
      </c>
      <c r="B208" s="1">
        <v>9283</v>
      </c>
      <c r="C208">
        <v>37983.35</v>
      </c>
      <c r="D208">
        <v>83.2</v>
      </c>
      <c r="E208">
        <v>0</v>
      </c>
      <c r="F208">
        <v>0</v>
      </c>
      <c r="G208">
        <v>1</v>
      </c>
      <c r="H208" t="s">
        <v>28</v>
      </c>
      <c r="L208" s="6">
        <v>169</v>
      </c>
      <c r="M208" s="6">
        <v>762151.8455712276</v>
      </c>
      <c r="N208" s="6">
        <v>-22320.115571227623</v>
      </c>
    </row>
    <row r="209" spans="1:14">
      <c r="A209">
        <v>675917.63</v>
      </c>
      <c r="B209" s="1">
        <v>8303</v>
      </c>
      <c r="C209">
        <v>56413.83</v>
      </c>
      <c r="D209">
        <v>93.6</v>
      </c>
      <c r="E209">
        <v>0</v>
      </c>
      <c r="F209">
        <v>0</v>
      </c>
      <c r="G209">
        <v>1</v>
      </c>
      <c r="H209" t="s">
        <v>28</v>
      </c>
      <c r="L209" s="6">
        <v>170</v>
      </c>
      <c r="M209" s="6">
        <v>658011.17334888969</v>
      </c>
      <c r="N209" s="6">
        <v>-64374.033348889672</v>
      </c>
    </row>
    <row r="210" spans="1:14">
      <c r="A210">
        <v>810446.53</v>
      </c>
      <c r="B210" s="1">
        <v>10125</v>
      </c>
      <c r="C210">
        <v>63457.19</v>
      </c>
      <c r="D210">
        <v>87</v>
      </c>
      <c r="E210">
        <v>0</v>
      </c>
      <c r="F210">
        <v>1</v>
      </c>
      <c r="G210">
        <v>0</v>
      </c>
      <c r="H210" t="s">
        <v>18</v>
      </c>
      <c r="L210" s="6">
        <v>171</v>
      </c>
      <c r="M210" s="6">
        <v>727266.08117211657</v>
      </c>
      <c r="N210" s="6">
        <v>42436.678827883443</v>
      </c>
    </row>
    <row r="211" spans="1:14">
      <c r="A211">
        <v>691288.19</v>
      </c>
      <c r="B211" s="1">
        <v>9458</v>
      </c>
      <c r="C211">
        <v>62949.7</v>
      </c>
      <c r="D211">
        <v>84.9</v>
      </c>
      <c r="E211">
        <v>0</v>
      </c>
      <c r="F211">
        <v>1</v>
      </c>
      <c r="G211">
        <v>0</v>
      </c>
      <c r="H211" t="s">
        <v>18</v>
      </c>
      <c r="L211" s="6">
        <v>172</v>
      </c>
      <c r="M211" s="6">
        <v>683108.39731148188</v>
      </c>
      <c r="N211" s="6">
        <v>-3376.8273114819312</v>
      </c>
    </row>
    <row r="212" spans="1:14">
      <c r="A212">
        <v>946833.54</v>
      </c>
      <c r="B212" s="1">
        <v>12870</v>
      </c>
      <c r="C212">
        <v>107970.19</v>
      </c>
      <c r="D212">
        <v>91.7</v>
      </c>
      <c r="E212">
        <v>0</v>
      </c>
      <c r="F212">
        <v>1</v>
      </c>
      <c r="G212">
        <v>0</v>
      </c>
      <c r="H212" t="s">
        <v>18</v>
      </c>
      <c r="L212" s="6">
        <v>173</v>
      </c>
      <c r="M212" s="6">
        <v>766929.84287216654</v>
      </c>
      <c r="N212" s="6">
        <v>13414.337127833511</v>
      </c>
    </row>
    <row r="213" spans="1:14">
      <c r="A213">
        <v>761963.23</v>
      </c>
      <c r="B213" s="1">
        <v>9752</v>
      </c>
      <c r="C213">
        <v>49405.75</v>
      </c>
      <c r="D213">
        <v>87</v>
      </c>
      <c r="E213">
        <v>0</v>
      </c>
      <c r="F213">
        <v>1</v>
      </c>
      <c r="G213">
        <v>0</v>
      </c>
      <c r="H213" t="s">
        <v>18</v>
      </c>
      <c r="L213" s="6">
        <v>174</v>
      </c>
      <c r="M213" s="6">
        <v>749875.00355463615</v>
      </c>
      <c r="N213" s="6">
        <v>-28510.893554636161</v>
      </c>
    </row>
    <row r="214" spans="1:14">
      <c r="A214">
        <v>812152.6</v>
      </c>
      <c r="B214" s="1">
        <v>9505</v>
      </c>
      <c r="C214">
        <v>50887.46</v>
      </c>
      <c r="D214">
        <v>89.7</v>
      </c>
      <c r="E214">
        <v>1</v>
      </c>
      <c r="F214">
        <v>0</v>
      </c>
      <c r="G214">
        <v>0</v>
      </c>
      <c r="H214" t="s">
        <v>16</v>
      </c>
      <c r="L214" s="6">
        <v>175</v>
      </c>
      <c r="M214" s="6">
        <v>774613.25997382263</v>
      </c>
      <c r="N214" s="6">
        <v>-16474.96997382259</v>
      </c>
    </row>
    <row r="215" spans="1:14">
      <c r="A215">
        <v>804975.5</v>
      </c>
      <c r="B215" s="1">
        <v>9412</v>
      </c>
      <c r="C215">
        <v>41819.449999999997</v>
      </c>
      <c r="D215">
        <v>91</v>
      </c>
      <c r="E215">
        <v>1</v>
      </c>
      <c r="F215">
        <v>0</v>
      </c>
      <c r="G215">
        <v>0</v>
      </c>
      <c r="H215" t="s">
        <v>16</v>
      </c>
      <c r="L215" s="6">
        <v>176</v>
      </c>
      <c r="M215" s="6">
        <v>818765.28115243628</v>
      </c>
      <c r="N215" s="6">
        <v>-14501.281152436277</v>
      </c>
    </row>
    <row r="216" spans="1:14">
      <c r="A216">
        <v>752321.72</v>
      </c>
      <c r="B216" s="1">
        <v>9644</v>
      </c>
      <c r="C216">
        <v>35296.54</v>
      </c>
      <c r="D216">
        <v>88</v>
      </c>
      <c r="E216">
        <v>1</v>
      </c>
      <c r="F216">
        <v>0</v>
      </c>
      <c r="G216">
        <v>0</v>
      </c>
      <c r="H216" t="s">
        <v>16</v>
      </c>
      <c r="L216" s="6">
        <v>177</v>
      </c>
      <c r="M216" s="6">
        <v>876653.72376242816</v>
      </c>
      <c r="N216" s="6">
        <v>10884.026237571845</v>
      </c>
    </row>
    <row r="217" spans="1:14">
      <c r="A217">
        <v>836908.24</v>
      </c>
      <c r="B217" s="1">
        <v>11224</v>
      </c>
      <c r="C217">
        <v>47391.09</v>
      </c>
      <c r="D217">
        <v>88.4</v>
      </c>
      <c r="E217">
        <v>1</v>
      </c>
      <c r="F217">
        <v>0</v>
      </c>
      <c r="G217">
        <v>0</v>
      </c>
      <c r="H217" t="s">
        <v>16</v>
      </c>
      <c r="L217" s="6">
        <v>178</v>
      </c>
      <c r="M217" s="6">
        <v>726195.33341604448</v>
      </c>
      <c r="N217" s="6">
        <v>57386.666583955521</v>
      </c>
    </row>
    <row r="218" spans="1:14">
      <c r="A218">
        <v>674289.1</v>
      </c>
      <c r="B218" s="1">
        <v>5394</v>
      </c>
      <c r="C218">
        <v>69180.539999999994</v>
      </c>
      <c r="D218">
        <v>82.9</v>
      </c>
      <c r="E218">
        <v>0</v>
      </c>
      <c r="F218">
        <v>0</v>
      </c>
      <c r="G218">
        <v>0</v>
      </c>
      <c r="H218" t="s">
        <v>21</v>
      </c>
      <c r="L218" s="6">
        <v>179</v>
      </c>
      <c r="M218" s="6">
        <v>757970.96013041702</v>
      </c>
      <c r="N218" s="6">
        <v>23984.559869582998</v>
      </c>
    </row>
    <row r="219" spans="1:14">
      <c r="A219">
        <v>622892.42000000004</v>
      </c>
      <c r="B219" s="1">
        <v>5014</v>
      </c>
      <c r="C219">
        <v>33987.33</v>
      </c>
      <c r="D219">
        <v>94.3</v>
      </c>
      <c r="E219">
        <v>0</v>
      </c>
      <c r="F219">
        <v>0</v>
      </c>
      <c r="G219">
        <v>0</v>
      </c>
      <c r="H219" t="s">
        <v>21</v>
      </c>
      <c r="L219" s="6">
        <v>180</v>
      </c>
      <c r="M219" s="6">
        <v>845604.12576528243</v>
      </c>
      <c r="N219" s="6">
        <v>52426.914234717609</v>
      </c>
    </row>
    <row r="220" spans="1:14">
      <c r="A220">
        <v>673348.56</v>
      </c>
      <c r="B220" s="1">
        <v>4467</v>
      </c>
      <c r="C220">
        <v>58785.33</v>
      </c>
      <c r="D220">
        <v>90.7</v>
      </c>
      <c r="E220">
        <v>0</v>
      </c>
      <c r="F220">
        <v>0</v>
      </c>
      <c r="G220">
        <v>0</v>
      </c>
      <c r="H220" t="s">
        <v>21</v>
      </c>
      <c r="L220" s="6">
        <v>181</v>
      </c>
      <c r="M220" s="6">
        <v>836721.82919964311</v>
      </c>
      <c r="N220" s="6">
        <v>18619.450800356921</v>
      </c>
    </row>
    <row r="221" spans="1:14">
      <c r="A221">
        <v>606278.30000000005</v>
      </c>
      <c r="B221" s="1">
        <v>4678</v>
      </c>
      <c r="C221">
        <v>16451.849999999999</v>
      </c>
      <c r="D221">
        <v>95.9</v>
      </c>
      <c r="E221">
        <v>0</v>
      </c>
      <c r="F221">
        <v>0</v>
      </c>
      <c r="G221">
        <v>0</v>
      </c>
      <c r="H221" t="s">
        <v>21</v>
      </c>
      <c r="L221" s="6">
        <v>182</v>
      </c>
      <c r="M221" s="6">
        <v>737249.95055047073</v>
      </c>
      <c r="N221" s="6">
        <v>14143.929449529271</v>
      </c>
    </row>
    <row r="222" spans="1:14">
      <c r="A222">
        <v>712219.81</v>
      </c>
      <c r="B222" s="1">
        <v>7291</v>
      </c>
      <c r="C222">
        <v>53367.73</v>
      </c>
      <c r="D222">
        <v>90.6</v>
      </c>
      <c r="E222">
        <v>0</v>
      </c>
      <c r="F222">
        <v>1</v>
      </c>
      <c r="G222">
        <v>0</v>
      </c>
      <c r="H222" t="s">
        <v>18</v>
      </c>
      <c r="L222" s="6">
        <v>183</v>
      </c>
      <c r="M222" s="6">
        <v>746476.13441128493</v>
      </c>
      <c r="N222" s="6">
        <v>14600.945588715025</v>
      </c>
    </row>
    <row r="223" spans="1:14">
      <c r="A223">
        <v>672670.54</v>
      </c>
      <c r="B223" s="1">
        <v>7404</v>
      </c>
      <c r="C223">
        <v>27194.639999999999</v>
      </c>
      <c r="D223">
        <v>90.2</v>
      </c>
      <c r="E223">
        <v>0</v>
      </c>
      <c r="F223">
        <v>1</v>
      </c>
      <c r="G223">
        <v>0</v>
      </c>
      <c r="H223" t="s">
        <v>18</v>
      </c>
      <c r="L223" s="6">
        <v>184</v>
      </c>
      <c r="M223" s="6">
        <v>812549.48890555208</v>
      </c>
      <c r="N223" s="6">
        <v>7111.1010944478912</v>
      </c>
    </row>
    <row r="224" spans="1:14">
      <c r="A224">
        <v>732667.92</v>
      </c>
      <c r="B224" s="1">
        <v>7880</v>
      </c>
      <c r="C224">
        <v>66962.740000000005</v>
      </c>
      <c r="D224">
        <v>90.4</v>
      </c>
      <c r="E224">
        <v>0</v>
      </c>
      <c r="F224">
        <v>1</v>
      </c>
      <c r="G224">
        <v>0</v>
      </c>
      <c r="H224" t="s">
        <v>18</v>
      </c>
      <c r="L224" s="6">
        <v>185</v>
      </c>
      <c r="M224" s="6">
        <v>699873.62353914371</v>
      </c>
      <c r="N224" s="6">
        <v>-18018.063539143652</v>
      </c>
    </row>
    <row r="225" spans="1:14">
      <c r="A225">
        <v>723531.4</v>
      </c>
      <c r="B225" s="1">
        <v>8773</v>
      </c>
      <c r="C225">
        <v>73540.990000000005</v>
      </c>
      <c r="D225">
        <v>84.4</v>
      </c>
      <c r="E225">
        <v>0</v>
      </c>
      <c r="F225">
        <v>1</v>
      </c>
      <c r="G225">
        <v>0</v>
      </c>
      <c r="H225" t="s">
        <v>18</v>
      </c>
      <c r="L225" s="6">
        <v>186</v>
      </c>
      <c r="M225" s="6">
        <v>659954.32686315186</v>
      </c>
      <c r="N225" s="6">
        <v>18356.843136848183</v>
      </c>
    </row>
    <row r="226" spans="1:14">
      <c r="A226">
        <v>641564.6</v>
      </c>
      <c r="B226" s="1">
        <v>4713</v>
      </c>
      <c r="C226">
        <v>68212.289999999994</v>
      </c>
      <c r="D226">
        <v>82.6</v>
      </c>
      <c r="E226">
        <v>0</v>
      </c>
      <c r="F226">
        <v>0</v>
      </c>
      <c r="G226">
        <v>1</v>
      </c>
      <c r="H226" t="s">
        <v>28</v>
      </c>
      <c r="L226" s="6">
        <v>187</v>
      </c>
      <c r="M226" s="6">
        <v>702523.64004045678</v>
      </c>
      <c r="N226" s="6">
        <v>63383.30995954317</v>
      </c>
    </row>
    <row r="227" spans="1:14">
      <c r="A227">
        <v>536545.49</v>
      </c>
      <c r="B227" s="1">
        <v>2842</v>
      </c>
      <c r="C227">
        <v>57225.98</v>
      </c>
      <c r="D227">
        <v>79.5</v>
      </c>
      <c r="E227">
        <v>0</v>
      </c>
      <c r="F227">
        <v>0</v>
      </c>
      <c r="G227">
        <v>1</v>
      </c>
      <c r="H227" t="s">
        <v>28</v>
      </c>
      <c r="L227" s="6">
        <v>188</v>
      </c>
      <c r="M227" s="6">
        <v>705529.88138106279</v>
      </c>
      <c r="N227" s="6">
        <v>7016.4986189372139</v>
      </c>
    </row>
    <row r="228" spans="1:14">
      <c r="A228">
        <v>527681.56000000006</v>
      </c>
      <c r="B228" s="1">
        <v>3872</v>
      </c>
      <c r="C228">
        <v>42932.02</v>
      </c>
      <c r="D228">
        <v>83.2</v>
      </c>
      <c r="E228">
        <v>0</v>
      </c>
      <c r="F228">
        <v>0</v>
      </c>
      <c r="G228">
        <v>1</v>
      </c>
      <c r="H228" t="s">
        <v>28</v>
      </c>
      <c r="L228" s="6">
        <v>189</v>
      </c>
      <c r="M228" s="6">
        <v>590325.27047203621</v>
      </c>
      <c r="N228" s="6">
        <v>35668.559527963749</v>
      </c>
    </row>
    <row r="229" spans="1:14">
      <c r="A229">
        <v>529598.93999999994</v>
      </c>
      <c r="B229" s="1">
        <v>1375</v>
      </c>
      <c r="C229">
        <v>39341.449999999997</v>
      </c>
      <c r="D229">
        <v>95</v>
      </c>
      <c r="E229">
        <v>0</v>
      </c>
      <c r="F229">
        <v>0</v>
      </c>
      <c r="G229">
        <v>1</v>
      </c>
      <c r="H229" t="s">
        <v>28</v>
      </c>
      <c r="L229" s="6">
        <v>190</v>
      </c>
      <c r="M229" s="6">
        <v>546460.83939105365</v>
      </c>
      <c r="N229" s="6">
        <v>4502.090608946397</v>
      </c>
    </row>
    <row r="230" spans="1:14">
      <c r="A230">
        <v>570963.31000000006</v>
      </c>
      <c r="B230" s="1">
        <v>5957</v>
      </c>
      <c r="C230">
        <v>37324.230000000003</v>
      </c>
      <c r="D230">
        <v>85.9</v>
      </c>
      <c r="E230">
        <v>0</v>
      </c>
      <c r="F230">
        <v>1</v>
      </c>
      <c r="G230">
        <v>0</v>
      </c>
      <c r="H230" t="s">
        <v>18</v>
      </c>
      <c r="L230" s="6">
        <v>191</v>
      </c>
      <c r="M230" s="6">
        <v>467964.05321445019</v>
      </c>
      <c r="N230" s="6">
        <v>-24688.463214450167</v>
      </c>
    </row>
    <row r="231" spans="1:14">
      <c r="A231">
        <v>870937.4</v>
      </c>
      <c r="B231" s="1">
        <v>8961</v>
      </c>
      <c r="C231">
        <v>113736</v>
      </c>
      <c r="D231">
        <v>86.2</v>
      </c>
      <c r="E231">
        <v>0</v>
      </c>
      <c r="F231">
        <v>1</v>
      </c>
      <c r="G231">
        <v>0</v>
      </c>
      <c r="H231" t="s">
        <v>18</v>
      </c>
      <c r="L231" s="6">
        <v>192</v>
      </c>
      <c r="M231" s="6">
        <v>608635.47907456756</v>
      </c>
      <c r="N231" s="6">
        <v>-54623.409074567608</v>
      </c>
    </row>
    <row r="232" spans="1:14">
      <c r="A232">
        <v>596969.27</v>
      </c>
      <c r="B232" s="1">
        <v>6545</v>
      </c>
      <c r="C232">
        <v>33173.949999999997</v>
      </c>
      <c r="D232">
        <v>84.4</v>
      </c>
      <c r="E232">
        <v>0</v>
      </c>
      <c r="F232">
        <v>1</v>
      </c>
      <c r="G232">
        <v>0</v>
      </c>
      <c r="H232" t="s">
        <v>18</v>
      </c>
      <c r="L232" s="6">
        <v>193</v>
      </c>
      <c r="M232" s="6">
        <v>680141.06172684114</v>
      </c>
      <c r="N232" s="6">
        <v>-36712.211726841168</v>
      </c>
    </row>
    <row r="233" spans="1:14">
      <c r="A233">
        <v>647512.85</v>
      </c>
      <c r="B233" s="1">
        <v>5457</v>
      </c>
      <c r="C233">
        <v>25818.080000000002</v>
      </c>
      <c r="D233">
        <v>95.4</v>
      </c>
      <c r="E233">
        <v>0</v>
      </c>
      <c r="F233">
        <v>1</v>
      </c>
      <c r="G233">
        <v>0</v>
      </c>
      <c r="H233" t="s">
        <v>18</v>
      </c>
      <c r="L233" s="6">
        <v>194</v>
      </c>
      <c r="M233" s="6">
        <v>611304.17002270184</v>
      </c>
      <c r="N233" s="6">
        <v>620.09997729817405</v>
      </c>
    </row>
    <row r="234" spans="1:14">
      <c r="A234">
        <v>658072.14</v>
      </c>
      <c r="B234" s="1">
        <v>4264</v>
      </c>
      <c r="C234">
        <v>47241.919999999998</v>
      </c>
      <c r="D234">
        <v>95.3</v>
      </c>
      <c r="E234">
        <v>1</v>
      </c>
      <c r="F234">
        <v>0</v>
      </c>
      <c r="G234">
        <v>0</v>
      </c>
      <c r="H234" t="s">
        <v>16</v>
      </c>
      <c r="L234" s="6">
        <v>195</v>
      </c>
      <c r="M234" s="6">
        <v>546597.4913978728</v>
      </c>
      <c r="N234" s="6">
        <v>12824.528602127219</v>
      </c>
    </row>
    <row r="235" spans="1:14">
      <c r="A235">
        <v>723305.11</v>
      </c>
      <c r="B235" s="1">
        <v>5321</v>
      </c>
      <c r="C235">
        <v>61650.79</v>
      </c>
      <c r="D235">
        <v>89.2</v>
      </c>
      <c r="E235">
        <v>1</v>
      </c>
      <c r="F235">
        <v>0</v>
      </c>
      <c r="G235">
        <v>0</v>
      </c>
      <c r="H235" t="s">
        <v>16</v>
      </c>
      <c r="L235" s="6">
        <v>196</v>
      </c>
      <c r="M235" s="6">
        <v>522786.47886605264</v>
      </c>
      <c r="N235" s="6">
        <v>-73321.418866052642</v>
      </c>
    </row>
    <row r="236" spans="1:14">
      <c r="A236">
        <v>640666.53</v>
      </c>
      <c r="B236" s="1">
        <v>5479</v>
      </c>
      <c r="C236">
        <v>62582.71</v>
      </c>
      <c r="D236">
        <v>81.2</v>
      </c>
      <c r="E236">
        <v>1</v>
      </c>
      <c r="F236">
        <v>0</v>
      </c>
      <c r="G236">
        <v>0</v>
      </c>
      <c r="H236" t="s">
        <v>16</v>
      </c>
      <c r="L236" s="6">
        <v>197</v>
      </c>
      <c r="M236" s="6">
        <v>632989.3191813603</v>
      </c>
      <c r="N236" s="6">
        <v>58458.110818639747</v>
      </c>
    </row>
    <row r="237" spans="1:14">
      <c r="A237">
        <v>670629.48</v>
      </c>
      <c r="B237" s="1">
        <v>6169</v>
      </c>
      <c r="C237">
        <v>47944.14</v>
      </c>
      <c r="D237">
        <v>92.2</v>
      </c>
      <c r="E237">
        <v>1</v>
      </c>
      <c r="F237">
        <v>0</v>
      </c>
      <c r="G237">
        <v>0</v>
      </c>
      <c r="H237" t="s">
        <v>16</v>
      </c>
      <c r="L237" s="6">
        <v>198</v>
      </c>
      <c r="M237" s="6">
        <v>594704.8423761914</v>
      </c>
      <c r="N237" s="6">
        <v>-20638.232376191416</v>
      </c>
    </row>
    <row r="238" spans="1:14">
      <c r="A238">
        <v>721079.35</v>
      </c>
      <c r="B238" s="1">
        <v>9908</v>
      </c>
      <c r="C238">
        <v>46495.4</v>
      </c>
      <c r="D238">
        <v>89.4</v>
      </c>
      <c r="E238">
        <v>0</v>
      </c>
      <c r="F238">
        <v>0</v>
      </c>
      <c r="G238">
        <v>1</v>
      </c>
      <c r="H238" t="s">
        <v>28</v>
      </c>
      <c r="L238" s="6">
        <v>199</v>
      </c>
      <c r="M238" s="6">
        <v>602935.63379994151</v>
      </c>
      <c r="N238" s="6">
        <v>-23985.793799941544</v>
      </c>
    </row>
    <row r="239" spans="1:14">
      <c r="A239">
        <v>810355.02</v>
      </c>
      <c r="B239" s="1">
        <v>9996</v>
      </c>
      <c r="C239">
        <v>72961.95</v>
      </c>
      <c r="D239">
        <v>89.1</v>
      </c>
      <c r="E239">
        <v>0</v>
      </c>
      <c r="F239">
        <v>0</v>
      </c>
      <c r="G239">
        <v>1</v>
      </c>
      <c r="H239" t="s">
        <v>28</v>
      </c>
      <c r="L239" s="6">
        <v>200</v>
      </c>
      <c r="M239" s="6">
        <v>642285.14898509136</v>
      </c>
      <c r="N239" s="6">
        <v>93501.49101490865</v>
      </c>
    </row>
    <row r="240" spans="1:14">
      <c r="A240">
        <v>761919.25</v>
      </c>
      <c r="B240" s="1">
        <v>9702</v>
      </c>
      <c r="C240">
        <v>59060.05</v>
      </c>
      <c r="D240">
        <v>80.900000000000006</v>
      </c>
      <c r="E240">
        <v>0</v>
      </c>
      <c r="F240">
        <v>0</v>
      </c>
      <c r="G240">
        <v>1</v>
      </c>
      <c r="H240" t="s">
        <v>28</v>
      </c>
      <c r="L240" s="6">
        <v>201</v>
      </c>
      <c r="M240" s="6">
        <v>630990.2228454228</v>
      </c>
      <c r="N240" s="6">
        <v>-32085.322845422779</v>
      </c>
    </row>
    <row r="241" spans="1:14">
      <c r="A241">
        <v>737070.18</v>
      </c>
      <c r="B241" s="1">
        <v>9314</v>
      </c>
      <c r="C241">
        <v>26248.1</v>
      </c>
      <c r="D241">
        <v>83.7</v>
      </c>
      <c r="E241">
        <v>0</v>
      </c>
      <c r="F241">
        <v>0</v>
      </c>
      <c r="G241">
        <v>1</v>
      </c>
      <c r="H241" t="s">
        <v>28</v>
      </c>
      <c r="L241" s="6">
        <v>202</v>
      </c>
      <c r="M241" s="6">
        <v>710348.93499702308</v>
      </c>
      <c r="N241" s="6">
        <v>77366.575002976926</v>
      </c>
    </row>
    <row r="242" spans="1:14">
      <c r="A242">
        <v>776992.93</v>
      </c>
      <c r="B242" s="1">
        <v>8055</v>
      </c>
      <c r="C242">
        <v>69900.12</v>
      </c>
      <c r="D242">
        <v>85.6</v>
      </c>
      <c r="E242">
        <v>0</v>
      </c>
      <c r="F242">
        <v>0</v>
      </c>
      <c r="G242">
        <v>0</v>
      </c>
      <c r="H242" t="s">
        <v>21</v>
      </c>
      <c r="L242" s="6">
        <v>203</v>
      </c>
      <c r="M242" s="6">
        <v>667440.55029229028</v>
      </c>
      <c r="N242" s="6">
        <v>-60355.63029229024</v>
      </c>
    </row>
    <row r="243" spans="1:14">
      <c r="A243">
        <v>676337.41</v>
      </c>
      <c r="B243" s="1">
        <v>5648</v>
      </c>
      <c r="C243">
        <v>51781.599999999999</v>
      </c>
      <c r="D243">
        <v>85.5</v>
      </c>
      <c r="E243">
        <v>0</v>
      </c>
      <c r="F243">
        <v>0</v>
      </c>
      <c r="G243">
        <v>0</v>
      </c>
      <c r="H243" t="s">
        <v>21</v>
      </c>
      <c r="L243" s="6">
        <v>204</v>
      </c>
      <c r="M243" s="6">
        <v>695970.46486974135</v>
      </c>
      <c r="N243" s="6">
        <v>-45174.97486974136</v>
      </c>
    </row>
    <row r="244" spans="1:14">
      <c r="A244">
        <v>828219.67</v>
      </c>
      <c r="B244" s="1">
        <v>10076</v>
      </c>
      <c r="C244">
        <v>70799.64</v>
      </c>
      <c r="D244">
        <v>84.8</v>
      </c>
      <c r="E244">
        <v>0</v>
      </c>
      <c r="F244">
        <v>0</v>
      </c>
      <c r="G244">
        <v>0</v>
      </c>
      <c r="H244" t="s">
        <v>21</v>
      </c>
      <c r="L244" s="6">
        <v>205</v>
      </c>
      <c r="M244" s="6">
        <v>851326.17645746213</v>
      </c>
      <c r="N244" s="6">
        <v>-26265.656457462115</v>
      </c>
    </row>
    <row r="245" spans="1:14">
      <c r="A245">
        <v>763159.92</v>
      </c>
      <c r="B245" s="1">
        <v>8004</v>
      </c>
      <c r="C245">
        <v>53546.34</v>
      </c>
      <c r="D245">
        <v>95.2</v>
      </c>
      <c r="E245">
        <v>0</v>
      </c>
      <c r="F245">
        <v>0</v>
      </c>
      <c r="G245">
        <v>0</v>
      </c>
      <c r="H245" t="s">
        <v>21</v>
      </c>
      <c r="L245" s="6">
        <v>206</v>
      </c>
      <c r="M245" s="6">
        <v>752319.4246661358</v>
      </c>
      <c r="N245" s="6">
        <v>43145.045333864167</v>
      </c>
    </row>
    <row r="246" spans="1:14">
      <c r="A246">
        <v>802001.68</v>
      </c>
      <c r="B246" s="1">
        <v>8934</v>
      </c>
      <c r="C246">
        <v>76942.2</v>
      </c>
      <c r="D246">
        <v>91</v>
      </c>
      <c r="E246">
        <v>0</v>
      </c>
      <c r="F246">
        <v>1</v>
      </c>
      <c r="G246">
        <v>0</v>
      </c>
      <c r="H246" t="s">
        <v>18</v>
      </c>
      <c r="L246" s="6">
        <v>207</v>
      </c>
      <c r="M246" s="6">
        <v>747159.03427522525</v>
      </c>
      <c r="N246" s="6">
        <v>-75290.44427522528</v>
      </c>
    </row>
    <row r="247" spans="1:14">
      <c r="A247">
        <v>750471.34</v>
      </c>
      <c r="B247" s="1">
        <v>8733</v>
      </c>
      <c r="C247">
        <v>48060.78</v>
      </c>
      <c r="D247">
        <v>89.9</v>
      </c>
      <c r="E247">
        <v>0</v>
      </c>
      <c r="F247">
        <v>1</v>
      </c>
      <c r="G247">
        <v>0</v>
      </c>
      <c r="H247" t="s">
        <v>18</v>
      </c>
      <c r="L247" s="6">
        <v>208</v>
      </c>
      <c r="M247" s="6">
        <v>767690.85451311094</v>
      </c>
      <c r="N247" s="6">
        <v>-91773.224513110938</v>
      </c>
    </row>
    <row r="248" spans="1:14">
      <c r="A248">
        <v>679230.86</v>
      </c>
      <c r="B248" s="1">
        <v>7374</v>
      </c>
      <c r="C248">
        <v>57390.04</v>
      </c>
      <c r="D248">
        <v>91.8</v>
      </c>
      <c r="E248">
        <v>0</v>
      </c>
      <c r="F248">
        <v>1</v>
      </c>
      <c r="G248">
        <v>0</v>
      </c>
      <c r="H248" t="s">
        <v>18</v>
      </c>
      <c r="L248" s="6">
        <v>209</v>
      </c>
      <c r="M248" s="6">
        <v>805483.62961151125</v>
      </c>
      <c r="N248" s="6">
        <v>4962.9003884887788</v>
      </c>
    </row>
    <row r="249" spans="1:14">
      <c r="A249">
        <v>679888.74</v>
      </c>
      <c r="B249" s="1">
        <v>8119</v>
      </c>
      <c r="C249">
        <v>21536.18</v>
      </c>
      <c r="D249">
        <v>90.4</v>
      </c>
      <c r="E249">
        <v>0</v>
      </c>
      <c r="F249">
        <v>1</v>
      </c>
      <c r="G249">
        <v>0</v>
      </c>
      <c r="H249" t="s">
        <v>18</v>
      </c>
      <c r="L249" s="6">
        <v>210</v>
      </c>
      <c r="M249" s="6">
        <v>775987.3592498512</v>
      </c>
      <c r="N249" s="6">
        <v>-84699.169249851257</v>
      </c>
    </row>
    <row r="250" spans="1:14">
      <c r="A250">
        <v>606783.67000000004</v>
      </c>
      <c r="B250" s="1">
        <v>3875</v>
      </c>
      <c r="C250">
        <v>40923.67</v>
      </c>
      <c r="D250">
        <v>96.1</v>
      </c>
      <c r="E250">
        <v>0</v>
      </c>
      <c r="F250">
        <v>1</v>
      </c>
      <c r="G250">
        <v>0</v>
      </c>
      <c r="H250" t="s">
        <v>18</v>
      </c>
      <c r="L250" s="6">
        <v>211</v>
      </c>
      <c r="M250" s="6">
        <v>964719.42896725656</v>
      </c>
      <c r="N250" s="6">
        <v>-17885.888967256527</v>
      </c>
    </row>
    <row r="251" spans="1:14">
      <c r="A251">
        <v>642751.42000000004</v>
      </c>
      <c r="B251" s="1">
        <v>5765</v>
      </c>
      <c r="C251">
        <v>72932.55</v>
      </c>
      <c r="D251">
        <v>81.8</v>
      </c>
      <c r="E251">
        <v>0</v>
      </c>
      <c r="F251">
        <v>1</v>
      </c>
      <c r="G251">
        <v>0</v>
      </c>
      <c r="H251" t="s">
        <v>18</v>
      </c>
      <c r="L251" s="6">
        <v>212</v>
      </c>
      <c r="M251" s="6">
        <v>776385.27904821141</v>
      </c>
      <c r="N251" s="6">
        <v>-14422.049048211426</v>
      </c>
    </row>
    <row r="252" spans="1:14">
      <c r="A252">
        <v>647953.78</v>
      </c>
      <c r="B252" s="1">
        <v>6322</v>
      </c>
      <c r="C252">
        <v>38361.93</v>
      </c>
      <c r="D252">
        <v>88.4</v>
      </c>
      <c r="E252">
        <v>0</v>
      </c>
      <c r="F252">
        <v>1</v>
      </c>
      <c r="G252">
        <v>0</v>
      </c>
      <c r="H252" t="s">
        <v>18</v>
      </c>
      <c r="L252" s="6">
        <v>213</v>
      </c>
      <c r="M252" s="6">
        <v>761382.22100260039</v>
      </c>
      <c r="N252" s="6">
        <v>50770.378997399588</v>
      </c>
    </row>
    <row r="253" spans="1:14">
      <c r="A253">
        <v>729440.45</v>
      </c>
      <c r="B253" s="1">
        <v>6840</v>
      </c>
      <c r="C253">
        <v>97480.94</v>
      </c>
      <c r="D253">
        <v>79.2</v>
      </c>
      <c r="E253">
        <v>0</v>
      </c>
      <c r="F253">
        <v>1</v>
      </c>
      <c r="G253">
        <v>0</v>
      </c>
      <c r="H253" t="s">
        <v>18</v>
      </c>
      <c r="L253" s="6">
        <v>214</v>
      </c>
      <c r="M253" s="6">
        <v>751561.10444891453</v>
      </c>
      <c r="N253" s="6">
        <v>53414.395551085472</v>
      </c>
    </row>
    <row r="254" spans="1:14">
      <c r="A254">
        <v>764949</v>
      </c>
      <c r="B254" s="1">
        <v>6782</v>
      </c>
      <c r="C254">
        <v>81801.8</v>
      </c>
      <c r="D254">
        <v>99</v>
      </c>
      <c r="E254">
        <v>0</v>
      </c>
      <c r="F254">
        <v>0</v>
      </c>
      <c r="G254">
        <v>0</v>
      </c>
      <c r="H254" t="s">
        <v>21</v>
      </c>
      <c r="L254" s="6">
        <v>215</v>
      </c>
      <c r="M254" s="6">
        <v>742511.36102957977</v>
      </c>
      <c r="N254" s="6">
        <v>9810.3589704202022</v>
      </c>
    </row>
    <row r="255" spans="1:14">
      <c r="A255">
        <v>799046.94</v>
      </c>
      <c r="B255" s="1">
        <v>6856</v>
      </c>
      <c r="C255">
        <v>63582.11</v>
      </c>
      <c r="D255">
        <v>89.5</v>
      </c>
      <c r="E255">
        <v>0</v>
      </c>
      <c r="F255">
        <v>0</v>
      </c>
      <c r="G255">
        <v>0</v>
      </c>
      <c r="H255" t="s">
        <v>21</v>
      </c>
      <c r="L255" s="6">
        <v>216</v>
      </c>
      <c r="M255" s="6">
        <v>811188.27961611142</v>
      </c>
      <c r="N255" s="6">
        <v>25719.960383888567</v>
      </c>
    </row>
    <row r="256" spans="1:14">
      <c r="A256">
        <v>720079.54</v>
      </c>
      <c r="B256" s="1">
        <v>5641</v>
      </c>
      <c r="C256">
        <v>75412.740000000005</v>
      </c>
      <c r="D256">
        <v>87.9</v>
      </c>
      <c r="E256">
        <v>0</v>
      </c>
      <c r="F256">
        <v>0</v>
      </c>
      <c r="G256">
        <v>0</v>
      </c>
      <c r="H256" t="s">
        <v>21</v>
      </c>
      <c r="L256" s="6">
        <v>217</v>
      </c>
      <c r="M256" s="6">
        <v>663261.20080965408</v>
      </c>
      <c r="N256" s="6">
        <v>11027.899190345895</v>
      </c>
    </row>
    <row r="257" spans="1:14">
      <c r="A257">
        <v>612390.14</v>
      </c>
      <c r="B257" s="1">
        <v>5787</v>
      </c>
      <c r="C257">
        <v>36290.080000000002</v>
      </c>
      <c r="D257">
        <v>88.3</v>
      </c>
      <c r="E257">
        <v>0</v>
      </c>
      <c r="F257">
        <v>0</v>
      </c>
      <c r="G257">
        <v>0</v>
      </c>
      <c r="H257" t="s">
        <v>21</v>
      </c>
      <c r="L257" s="6">
        <v>218</v>
      </c>
      <c r="M257" s="6">
        <v>643966.91980279307</v>
      </c>
      <c r="N257" s="6">
        <v>-21074.499802793027</v>
      </c>
    </row>
    <row r="258" spans="1:14">
      <c r="A258">
        <v>840108.12</v>
      </c>
      <c r="B258" s="1">
        <v>8165</v>
      </c>
      <c r="C258">
        <v>65272.58</v>
      </c>
      <c r="D258">
        <v>87.8</v>
      </c>
      <c r="E258">
        <v>0</v>
      </c>
      <c r="F258">
        <v>0</v>
      </c>
      <c r="G258">
        <v>1</v>
      </c>
      <c r="H258" t="s">
        <v>28</v>
      </c>
      <c r="L258" s="6">
        <v>219</v>
      </c>
      <c r="M258" s="6">
        <v>643695.3339698927</v>
      </c>
      <c r="N258" s="6">
        <v>29653.226030107355</v>
      </c>
    </row>
    <row r="259" spans="1:14">
      <c r="A259">
        <v>697888.09</v>
      </c>
      <c r="B259" s="1">
        <v>7574</v>
      </c>
      <c r="C259">
        <v>28670.43</v>
      </c>
      <c r="D259">
        <v>82.7</v>
      </c>
      <c r="E259">
        <v>0</v>
      </c>
      <c r="F259">
        <v>0</v>
      </c>
      <c r="G259">
        <v>1</v>
      </c>
      <c r="H259" t="s">
        <v>28</v>
      </c>
      <c r="L259" s="6">
        <v>220</v>
      </c>
      <c r="M259" s="6">
        <v>616915.87409083126</v>
      </c>
      <c r="N259" s="6">
        <v>-10637.574090831215</v>
      </c>
    </row>
    <row r="260" spans="1:14">
      <c r="A260">
        <v>746115.59</v>
      </c>
      <c r="B260" s="1">
        <v>8634</v>
      </c>
      <c r="C260">
        <v>44189.34</v>
      </c>
      <c r="D260">
        <v>87.5</v>
      </c>
      <c r="E260">
        <v>0</v>
      </c>
      <c r="F260">
        <v>0</v>
      </c>
      <c r="G260">
        <v>1</v>
      </c>
      <c r="H260" t="s">
        <v>28</v>
      </c>
      <c r="L260" s="6">
        <v>221</v>
      </c>
      <c r="M260" s="6">
        <v>709178.6417701334</v>
      </c>
      <c r="N260" s="6">
        <v>3041.1682298666565</v>
      </c>
    </row>
    <row r="261" spans="1:14">
      <c r="A261">
        <v>776110.32</v>
      </c>
      <c r="B261" s="1">
        <v>7836</v>
      </c>
      <c r="C261">
        <v>38397.82</v>
      </c>
      <c r="D261">
        <v>92.2</v>
      </c>
      <c r="E261">
        <v>0</v>
      </c>
      <c r="F261">
        <v>0</v>
      </c>
      <c r="G261">
        <v>1</v>
      </c>
      <c r="H261" t="s">
        <v>28</v>
      </c>
      <c r="L261" s="6">
        <v>222</v>
      </c>
      <c r="M261" s="6">
        <v>680961.74743447127</v>
      </c>
      <c r="N261" s="6">
        <v>-8291.207434471231</v>
      </c>
    </row>
    <row r="262" spans="1:14">
      <c r="A262">
        <v>528852.62</v>
      </c>
      <c r="B262" s="1">
        <v>3047</v>
      </c>
      <c r="C262">
        <v>14519.37</v>
      </c>
      <c r="D262">
        <v>90.3</v>
      </c>
      <c r="E262">
        <v>0</v>
      </c>
      <c r="F262">
        <v>1</v>
      </c>
      <c r="G262">
        <v>0</v>
      </c>
      <c r="H262" t="s">
        <v>18</v>
      </c>
      <c r="L262" s="6">
        <v>223</v>
      </c>
      <c r="M262" s="6">
        <v>744402.9747304162</v>
      </c>
      <c r="N262" s="6">
        <v>-11735.054730416159</v>
      </c>
    </row>
    <row r="263" spans="1:14">
      <c r="A263">
        <v>605751.32999999996</v>
      </c>
      <c r="B263" s="1">
        <v>4783</v>
      </c>
      <c r="C263">
        <v>43288.2</v>
      </c>
      <c r="D263">
        <v>87.3</v>
      </c>
      <c r="E263">
        <v>0</v>
      </c>
      <c r="F263">
        <v>1</v>
      </c>
      <c r="G263">
        <v>0</v>
      </c>
      <c r="H263" t="s">
        <v>18</v>
      </c>
      <c r="L263" s="6">
        <v>224</v>
      </c>
      <c r="M263" s="6">
        <v>763845.45137965039</v>
      </c>
      <c r="N263" s="6">
        <v>-40314.051379650366</v>
      </c>
    </row>
    <row r="264" spans="1:14">
      <c r="A264">
        <v>677640.65</v>
      </c>
      <c r="B264" s="1">
        <v>4902</v>
      </c>
      <c r="C264">
        <v>51450.55</v>
      </c>
      <c r="D264">
        <v>83.7</v>
      </c>
      <c r="E264">
        <v>0</v>
      </c>
      <c r="F264">
        <v>1</v>
      </c>
      <c r="G264">
        <v>0</v>
      </c>
      <c r="H264" t="s">
        <v>18</v>
      </c>
      <c r="L264" s="6">
        <v>225</v>
      </c>
      <c r="M264" s="6">
        <v>626957.8387387098</v>
      </c>
      <c r="N264" s="6">
        <v>14606.761261290172</v>
      </c>
    </row>
    <row r="265" spans="1:14">
      <c r="A265">
        <v>636613.23</v>
      </c>
      <c r="B265" s="1">
        <v>4022</v>
      </c>
      <c r="C265">
        <v>58688.26</v>
      </c>
      <c r="D265">
        <v>93.8</v>
      </c>
      <c r="E265">
        <v>0</v>
      </c>
      <c r="F265">
        <v>1</v>
      </c>
      <c r="G265">
        <v>0</v>
      </c>
      <c r="H265" t="s">
        <v>18</v>
      </c>
      <c r="L265" s="6">
        <v>226</v>
      </c>
      <c r="M265" s="6">
        <v>541513.14815638924</v>
      </c>
      <c r="N265" s="6">
        <v>-4967.6581563892541</v>
      </c>
    </row>
    <row r="266" spans="1:14">
      <c r="A266">
        <v>708985.19</v>
      </c>
      <c r="B266" s="1">
        <v>7324</v>
      </c>
      <c r="C266">
        <v>58981.91</v>
      </c>
      <c r="D266">
        <v>95.8</v>
      </c>
      <c r="E266">
        <v>0</v>
      </c>
      <c r="F266">
        <v>1</v>
      </c>
      <c r="G266">
        <v>0</v>
      </c>
      <c r="H266" t="s">
        <v>18</v>
      </c>
      <c r="L266" s="6">
        <v>227</v>
      </c>
      <c r="M266" s="6">
        <v>570720.33335174434</v>
      </c>
      <c r="N266" s="6">
        <v>-43038.773351744283</v>
      </c>
    </row>
    <row r="267" spans="1:14">
      <c r="A267">
        <v>767792.94</v>
      </c>
      <c r="B267" s="1">
        <v>8129</v>
      </c>
      <c r="C267">
        <v>73454.539999999994</v>
      </c>
      <c r="D267">
        <v>85.2</v>
      </c>
      <c r="E267">
        <v>0</v>
      </c>
      <c r="F267">
        <v>1</v>
      </c>
      <c r="G267">
        <v>0</v>
      </c>
      <c r="H267" t="s">
        <v>18</v>
      </c>
      <c r="L267" s="6">
        <v>228</v>
      </c>
      <c r="M267" s="6">
        <v>518530.03484540817</v>
      </c>
      <c r="N267" s="6">
        <v>11068.905154591775</v>
      </c>
    </row>
    <row r="268" spans="1:14">
      <c r="A268">
        <v>745580.51</v>
      </c>
      <c r="B268" s="1">
        <v>7969</v>
      </c>
      <c r="C268">
        <v>56602.39</v>
      </c>
      <c r="D268">
        <v>88.3</v>
      </c>
      <c r="E268">
        <v>0</v>
      </c>
      <c r="F268">
        <v>1</v>
      </c>
      <c r="G268">
        <v>0</v>
      </c>
      <c r="H268" t="s">
        <v>18</v>
      </c>
      <c r="L268" s="6">
        <v>229</v>
      </c>
      <c r="M268" s="6">
        <v>630970.52312860056</v>
      </c>
      <c r="N268" s="6">
        <v>-60007.213128600502</v>
      </c>
    </row>
    <row r="269" spans="1:14">
      <c r="A269">
        <v>762328.31</v>
      </c>
      <c r="B269" s="1">
        <v>7240</v>
      </c>
      <c r="C269">
        <v>67722.289999999994</v>
      </c>
      <c r="D269">
        <v>92.9</v>
      </c>
      <c r="E269">
        <v>0</v>
      </c>
      <c r="F269">
        <v>1</v>
      </c>
      <c r="G269">
        <v>0</v>
      </c>
      <c r="H269" t="s">
        <v>18</v>
      </c>
      <c r="L269" s="6">
        <v>230</v>
      </c>
      <c r="M269" s="6">
        <v>822988.85029001371</v>
      </c>
      <c r="N269" s="6">
        <v>47948.549709986313</v>
      </c>
    </row>
    <row r="270" spans="1:14">
      <c r="A270">
        <v>660633.99</v>
      </c>
      <c r="B270" s="1">
        <v>8052</v>
      </c>
      <c r="C270">
        <v>48752.92</v>
      </c>
      <c r="D270">
        <v>94.9</v>
      </c>
      <c r="E270">
        <v>0</v>
      </c>
      <c r="F270">
        <v>0</v>
      </c>
      <c r="G270">
        <v>1</v>
      </c>
      <c r="H270" t="s">
        <v>28</v>
      </c>
      <c r="L270" s="6">
        <v>231</v>
      </c>
      <c r="M270" s="6">
        <v>641298.41483469494</v>
      </c>
      <c r="N270" s="6">
        <v>-44329.144834694918</v>
      </c>
    </row>
    <row r="271" spans="1:14">
      <c r="A271">
        <v>739374.56</v>
      </c>
      <c r="B271" s="1">
        <v>8018</v>
      </c>
      <c r="C271">
        <v>23914.97</v>
      </c>
      <c r="D271">
        <v>89</v>
      </c>
      <c r="E271">
        <v>0</v>
      </c>
      <c r="F271">
        <v>0</v>
      </c>
      <c r="G271">
        <v>1</v>
      </c>
      <c r="H271" t="s">
        <v>28</v>
      </c>
      <c r="L271" s="6">
        <v>232</v>
      </c>
      <c r="M271" s="6">
        <v>629687.28321527783</v>
      </c>
      <c r="N271" s="6">
        <v>17825.566784722148</v>
      </c>
    </row>
    <row r="272" spans="1:14">
      <c r="A272">
        <v>799756.46</v>
      </c>
      <c r="B272" s="1">
        <v>10192</v>
      </c>
      <c r="C272">
        <v>61995.3</v>
      </c>
      <c r="D272">
        <v>87.6</v>
      </c>
      <c r="E272">
        <v>0</v>
      </c>
      <c r="F272">
        <v>0</v>
      </c>
      <c r="G272">
        <v>1</v>
      </c>
      <c r="H272" t="s">
        <v>28</v>
      </c>
      <c r="L272" s="6">
        <v>233</v>
      </c>
      <c r="M272" s="6">
        <v>597709.32174849208</v>
      </c>
      <c r="N272" s="6">
        <v>60362.818251507939</v>
      </c>
    </row>
    <row r="273" spans="1:14">
      <c r="A273">
        <v>593343</v>
      </c>
      <c r="B273" s="1">
        <v>7446</v>
      </c>
      <c r="C273">
        <v>29344.93</v>
      </c>
      <c r="D273">
        <v>86.2</v>
      </c>
      <c r="E273">
        <v>0</v>
      </c>
      <c r="F273">
        <v>0</v>
      </c>
      <c r="G273">
        <v>1</v>
      </c>
      <c r="H273" t="s">
        <v>28</v>
      </c>
      <c r="L273" s="6">
        <v>234</v>
      </c>
      <c r="M273" s="6">
        <v>631583.92845260492</v>
      </c>
      <c r="N273" s="6">
        <v>91721.18154739507</v>
      </c>
    </row>
    <row r="274" spans="1:14">
      <c r="A274">
        <v>645039.97</v>
      </c>
      <c r="B274" s="1">
        <v>5689</v>
      </c>
      <c r="C274">
        <v>50532.17</v>
      </c>
      <c r="D274">
        <v>85.6</v>
      </c>
      <c r="E274">
        <v>0</v>
      </c>
      <c r="F274">
        <v>1</v>
      </c>
      <c r="G274">
        <v>0</v>
      </c>
      <c r="H274" t="s">
        <v>18</v>
      </c>
      <c r="L274" s="6">
        <v>235</v>
      </c>
      <c r="M274" s="6">
        <v>613499.05450818595</v>
      </c>
      <c r="N274" s="6">
        <v>27167.475491814082</v>
      </c>
    </row>
    <row r="275" spans="1:14">
      <c r="A275">
        <v>561597.32999999996</v>
      </c>
      <c r="B275" s="1">
        <v>3326</v>
      </c>
      <c r="C275">
        <v>17562.57</v>
      </c>
      <c r="D275">
        <v>88.1</v>
      </c>
      <c r="E275">
        <v>0</v>
      </c>
      <c r="F275">
        <v>1</v>
      </c>
      <c r="G275">
        <v>0</v>
      </c>
      <c r="H275" t="s">
        <v>18</v>
      </c>
      <c r="L275" s="6">
        <v>236</v>
      </c>
      <c r="M275" s="6">
        <v>653207.73909759335</v>
      </c>
      <c r="N275" s="6">
        <v>17421.740902406629</v>
      </c>
    </row>
    <row r="276" spans="1:14">
      <c r="A276">
        <v>635837.74</v>
      </c>
      <c r="B276" s="1">
        <v>5767</v>
      </c>
      <c r="C276">
        <v>47648.71</v>
      </c>
      <c r="D276">
        <v>89.8</v>
      </c>
      <c r="E276">
        <v>0</v>
      </c>
      <c r="F276">
        <v>1</v>
      </c>
      <c r="G276">
        <v>0</v>
      </c>
      <c r="H276" t="s">
        <v>18</v>
      </c>
      <c r="L276" s="6">
        <v>237</v>
      </c>
      <c r="M276" s="6">
        <v>797217.61711232387</v>
      </c>
      <c r="N276" s="6">
        <v>-76138.267112323898</v>
      </c>
    </row>
    <row r="277" spans="1:14">
      <c r="A277">
        <v>686737.87</v>
      </c>
      <c r="B277" s="1">
        <v>5893</v>
      </c>
      <c r="C277">
        <v>38297.58</v>
      </c>
      <c r="D277">
        <v>77.599999999999994</v>
      </c>
      <c r="E277">
        <v>0</v>
      </c>
      <c r="F277">
        <v>1</v>
      </c>
      <c r="G277">
        <v>0</v>
      </c>
      <c r="H277" t="s">
        <v>18</v>
      </c>
      <c r="L277" s="6">
        <v>238</v>
      </c>
      <c r="M277" s="6">
        <v>830406.17136353964</v>
      </c>
      <c r="N277" s="6">
        <v>-20051.151363539626</v>
      </c>
    </row>
    <row r="278" spans="1:14">
      <c r="A278">
        <v>673076.34</v>
      </c>
      <c r="B278" s="1">
        <v>8564</v>
      </c>
      <c r="C278">
        <v>61784.11</v>
      </c>
      <c r="D278">
        <v>87.4</v>
      </c>
      <c r="E278">
        <v>1</v>
      </c>
      <c r="F278">
        <v>0</v>
      </c>
      <c r="G278">
        <v>0</v>
      </c>
      <c r="H278" t="s">
        <v>16</v>
      </c>
      <c r="L278" s="6">
        <v>239</v>
      </c>
      <c r="M278" s="6">
        <v>779028.72850046644</v>
      </c>
      <c r="N278" s="6">
        <v>-17109.478500466445</v>
      </c>
    </row>
    <row r="279" spans="1:14">
      <c r="A279">
        <v>738548.42</v>
      </c>
      <c r="B279" s="1">
        <v>8001</v>
      </c>
      <c r="C279">
        <v>36832.33</v>
      </c>
      <c r="D279">
        <v>88.7</v>
      </c>
      <c r="E279">
        <v>1</v>
      </c>
      <c r="F279">
        <v>0</v>
      </c>
      <c r="G279">
        <v>0</v>
      </c>
      <c r="H279" t="s">
        <v>16</v>
      </c>
      <c r="L279" s="6">
        <v>240</v>
      </c>
      <c r="M279" s="6">
        <v>735925.78323143511</v>
      </c>
      <c r="N279" s="6">
        <v>1144.3967685649404</v>
      </c>
    </row>
    <row r="280" spans="1:14">
      <c r="A280">
        <v>756619.77</v>
      </c>
      <c r="B280" s="1">
        <v>9324</v>
      </c>
      <c r="C280">
        <v>48609.41</v>
      </c>
      <c r="D280">
        <v>86.5</v>
      </c>
      <c r="E280">
        <v>1</v>
      </c>
      <c r="F280">
        <v>0</v>
      </c>
      <c r="G280">
        <v>0</v>
      </c>
      <c r="H280" t="s">
        <v>16</v>
      </c>
      <c r="L280" s="6">
        <v>241</v>
      </c>
      <c r="M280" s="6">
        <v>762009.8447676131</v>
      </c>
      <c r="N280" s="6">
        <v>14983.085232386948</v>
      </c>
    </row>
    <row r="281" spans="1:14">
      <c r="A281">
        <v>761122.42</v>
      </c>
      <c r="B281" s="1">
        <v>9109</v>
      </c>
      <c r="C281">
        <v>70284.06</v>
      </c>
      <c r="D281">
        <v>87</v>
      </c>
      <c r="E281">
        <v>1</v>
      </c>
      <c r="F281">
        <v>0</v>
      </c>
      <c r="G281">
        <v>0</v>
      </c>
      <c r="H281" t="s">
        <v>16</v>
      </c>
      <c r="L281" s="6">
        <v>242</v>
      </c>
      <c r="M281" s="6">
        <v>659307.06473401655</v>
      </c>
      <c r="N281" s="6">
        <v>17030.345265983487</v>
      </c>
    </row>
    <row r="282" spans="1:14">
      <c r="A282">
        <v>524899.56999999995</v>
      </c>
      <c r="B282" s="1">
        <v>4022</v>
      </c>
      <c r="C282">
        <v>45940.39</v>
      </c>
      <c r="D282">
        <v>83</v>
      </c>
      <c r="E282">
        <v>0</v>
      </c>
      <c r="F282">
        <v>1</v>
      </c>
      <c r="G282">
        <v>0</v>
      </c>
      <c r="H282" t="s">
        <v>18</v>
      </c>
      <c r="L282" s="6">
        <v>243</v>
      </c>
      <c r="M282" s="6">
        <v>828692.46847987548</v>
      </c>
      <c r="N282" s="6">
        <v>-472.79847987543326</v>
      </c>
    </row>
    <row r="283" spans="1:14">
      <c r="A283">
        <v>555557.77</v>
      </c>
      <c r="B283" s="1">
        <v>4355</v>
      </c>
      <c r="C283">
        <v>34771.26</v>
      </c>
      <c r="D283">
        <v>87.9</v>
      </c>
      <c r="E283">
        <v>0</v>
      </c>
      <c r="F283">
        <v>1</v>
      </c>
      <c r="G283">
        <v>0</v>
      </c>
      <c r="H283" t="s">
        <v>18</v>
      </c>
      <c r="L283" s="6">
        <v>244</v>
      </c>
      <c r="M283" s="6">
        <v>770452.60008200444</v>
      </c>
      <c r="N283" s="6">
        <v>-7292.6800820044009</v>
      </c>
    </row>
    <row r="284" spans="1:14">
      <c r="A284">
        <v>714083.68</v>
      </c>
      <c r="B284" s="1">
        <v>5745</v>
      </c>
      <c r="C284">
        <v>66104.19</v>
      </c>
      <c r="D284">
        <v>95.8</v>
      </c>
      <c r="E284">
        <v>0</v>
      </c>
      <c r="F284">
        <v>1</v>
      </c>
      <c r="G284">
        <v>0</v>
      </c>
      <c r="H284" t="s">
        <v>18</v>
      </c>
      <c r="L284" s="6">
        <v>245</v>
      </c>
      <c r="M284" s="6">
        <v>793486.08665680001</v>
      </c>
      <c r="N284" s="6">
        <v>8515.5933432000456</v>
      </c>
    </row>
    <row r="285" spans="1:14">
      <c r="A285">
        <v>497439.82</v>
      </c>
      <c r="B285" s="1">
        <v>3027</v>
      </c>
      <c r="C285">
        <v>18599.21</v>
      </c>
      <c r="D285">
        <v>80.900000000000006</v>
      </c>
      <c r="E285">
        <v>0</v>
      </c>
      <c r="F285">
        <v>1</v>
      </c>
      <c r="G285">
        <v>0</v>
      </c>
      <c r="H285" t="s">
        <v>18</v>
      </c>
      <c r="L285" s="6">
        <v>246</v>
      </c>
      <c r="M285" s="6">
        <v>749361.59516245127</v>
      </c>
      <c r="N285" s="6">
        <v>1109.7448375487002</v>
      </c>
    </row>
    <row r="286" spans="1:14">
      <c r="A286">
        <v>636775.66</v>
      </c>
      <c r="B286" s="1">
        <v>5562</v>
      </c>
      <c r="C286">
        <v>60183.06</v>
      </c>
      <c r="D286">
        <v>86.3</v>
      </c>
      <c r="E286">
        <v>1</v>
      </c>
      <c r="F286">
        <v>0</v>
      </c>
      <c r="G286">
        <v>0</v>
      </c>
      <c r="H286" t="s">
        <v>16</v>
      </c>
      <c r="L286" s="6">
        <v>247</v>
      </c>
      <c r="M286" s="6">
        <v>720382.96514669131</v>
      </c>
      <c r="N286" s="6">
        <v>-41152.10514669132</v>
      </c>
    </row>
    <row r="287" spans="1:14">
      <c r="A287">
        <v>633009.53</v>
      </c>
      <c r="B287" s="1">
        <v>4487</v>
      </c>
      <c r="C287">
        <v>74539.14</v>
      </c>
      <c r="D287">
        <v>90.4</v>
      </c>
      <c r="E287">
        <v>1</v>
      </c>
      <c r="F287">
        <v>0</v>
      </c>
      <c r="G287">
        <v>0</v>
      </c>
      <c r="H287" t="s">
        <v>16</v>
      </c>
      <c r="L287" s="6">
        <v>248</v>
      </c>
      <c r="M287" s="6">
        <v>698999.76025868347</v>
      </c>
      <c r="N287" s="6">
        <v>-19111.020258683478</v>
      </c>
    </row>
    <row r="288" spans="1:14">
      <c r="A288">
        <v>609949</v>
      </c>
      <c r="B288" s="1">
        <v>4162</v>
      </c>
      <c r="C288">
        <v>55371.97</v>
      </c>
      <c r="D288">
        <v>92</v>
      </c>
      <c r="E288">
        <v>1</v>
      </c>
      <c r="F288">
        <v>0</v>
      </c>
      <c r="G288">
        <v>0</v>
      </c>
      <c r="H288" t="s">
        <v>16</v>
      </c>
      <c r="L288" s="6">
        <v>249</v>
      </c>
      <c r="M288" s="6">
        <v>596318.72271142271</v>
      </c>
      <c r="N288" s="6">
        <v>10464.947288577328</v>
      </c>
    </row>
    <row r="289" spans="1:14">
      <c r="A289">
        <v>548103.69999999995</v>
      </c>
      <c r="B289" s="1">
        <v>4094</v>
      </c>
      <c r="C289">
        <v>40928.69</v>
      </c>
      <c r="D289">
        <v>82.4</v>
      </c>
      <c r="E289">
        <v>1</v>
      </c>
      <c r="F289">
        <v>0</v>
      </c>
      <c r="G289">
        <v>0</v>
      </c>
      <c r="H289" t="s">
        <v>16</v>
      </c>
      <c r="L289" s="6">
        <v>250</v>
      </c>
      <c r="M289" s="6">
        <v>653845.67953113909</v>
      </c>
      <c r="N289" s="6">
        <v>-11094.259531139047</v>
      </c>
    </row>
    <row r="290" spans="1:14">
      <c r="A290">
        <v>729424.42</v>
      </c>
      <c r="B290" s="1">
        <v>8484</v>
      </c>
      <c r="C290">
        <v>70012.41</v>
      </c>
      <c r="D290">
        <v>72.900000000000006</v>
      </c>
      <c r="E290">
        <v>1</v>
      </c>
      <c r="F290">
        <v>0</v>
      </c>
      <c r="G290">
        <v>0</v>
      </c>
      <c r="H290" t="s">
        <v>16</v>
      </c>
      <c r="L290" s="6">
        <v>251</v>
      </c>
      <c r="M290" s="6">
        <v>652143.42772617517</v>
      </c>
      <c r="N290" s="6">
        <v>-4189.6477261751425</v>
      </c>
    </row>
    <row r="291" spans="1:14">
      <c r="A291">
        <v>696261.49</v>
      </c>
      <c r="B291" s="1">
        <v>7794</v>
      </c>
      <c r="C291">
        <v>68909.259999999995</v>
      </c>
      <c r="D291">
        <v>89</v>
      </c>
      <c r="E291">
        <v>1</v>
      </c>
      <c r="F291">
        <v>0</v>
      </c>
      <c r="G291">
        <v>0</v>
      </c>
      <c r="H291" t="s">
        <v>16</v>
      </c>
      <c r="L291" s="6">
        <v>252</v>
      </c>
      <c r="M291" s="6">
        <v>710978.06747273414</v>
      </c>
      <c r="N291" s="6">
        <v>18462.382527265814</v>
      </c>
    </row>
    <row r="292" spans="1:14">
      <c r="A292">
        <v>813316.71</v>
      </c>
      <c r="B292" s="1">
        <v>8300</v>
      </c>
      <c r="C292">
        <v>56737.3</v>
      </c>
      <c r="D292">
        <v>83.2</v>
      </c>
      <c r="E292">
        <v>1</v>
      </c>
      <c r="F292">
        <v>0</v>
      </c>
      <c r="G292">
        <v>0</v>
      </c>
      <c r="H292" t="s">
        <v>16</v>
      </c>
      <c r="L292" s="6">
        <v>253</v>
      </c>
      <c r="M292" s="6">
        <v>774178.71860032959</v>
      </c>
      <c r="N292" s="6">
        <v>-9229.7186003295938</v>
      </c>
    </row>
    <row r="293" spans="1:14">
      <c r="A293">
        <v>702068.92</v>
      </c>
      <c r="B293" s="1">
        <v>7083</v>
      </c>
      <c r="C293">
        <v>54080.91</v>
      </c>
      <c r="D293">
        <v>97</v>
      </c>
      <c r="E293">
        <v>1</v>
      </c>
      <c r="F293">
        <v>0</v>
      </c>
      <c r="G293">
        <v>0</v>
      </c>
      <c r="H293" t="s">
        <v>16</v>
      </c>
      <c r="L293" s="6">
        <v>254</v>
      </c>
      <c r="M293" s="6">
        <v>726134.2584179102</v>
      </c>
      <c r="N293" s="6">
        <v>72912.681582089746</v>
      </c>
    </row>
    <row r="294" spans="1:14">
      <c r="A294">
        <v>546223.69999999995</v>
      </c>
      <c r="B294" s="1">
        <v>3834</v>
      </c>
      <c r="C294">
        <v>51996.32</v>
      </c>
      <c r="D294">
        <v>86.7</v>
      </c>
      <c r="E294">
        <v>0</v>
      </c>
      <c r="F294">
        <v>1</v>
      </c>
      <c r="G294">
        <v>0</v>
      </c>
      <c r="H294" t="s">
        <v>18</v>
      </c>
      <c r="L294" s="6">
        <v>255</v>
      </c>
      <c r="M294" s="6">
        <v>694229.16464336356</v>
      </c>
      <c r="N294" s="6">
        <v>25850.375356636476</v>
      </c>
    </row>
    <row r="295" spans="1:14">
      <c r="A295">
        <v>533121.26</v>
      </c>
      <c r="B295" s="1">
        <v>2358</v>
      </c>
      <c r="C295">
        <v>40102.879999999997</v>
      </c>
      <c r="D295">
        <v>88.7</v>
      </c>
      <c r="E295">
        <v>0</v>
      </c>
      <c r="F295">
        <v>1</v>
      </c>
      <c r="G295">
        <v>0</v>
      </c>
      <c r="H295" t="s">
        <v>18</v>
      </c>
      <c r="L295" s="6">
        <v>256</v>
      </c>
      <c r="M295" s="6">
        <v>654336.3721140686</v>
      </c>
      <c r="N295" s="6">
        <v>-41946.232114068582</v>
      </c>
    </row>
    <row r="296" spans="1:14">
      <c r="A296">
        <v>498970.32</v>
      </c>
      <c r="B296" s="1">
        <v>1231</v>
      </c>
      <c r="C296">
        <v>59825.51</v>
      </c>
      <c r="D296">
        <v>84.8</v>
      </c>
      <c r="E296">
        <v>0</v>
      </c>
      <c r="F296">
        <v>1</v>
      </c>
      <c r="G296">
        <v>0</v>
      </c>
      <c r="H296" t="s">
        <v>18</v>
      </c>
      <c r="L296" s="6">
        <v>257</v>
      </c>
      <c r="M296" s="6">
        <v>755701.6255272784</v>
      </c>
      <c r="N296" s="6">
        <v>84406.494472721592</v>
      </c>
    </row>
    <row r="297" spans="1:14">
      <c r="A297">
        <v>487738.26</v>
      </c>
      <c r="B297" s="1">
        <v>1723</v>
      </c>
      <c r="C297">
        <v>27398.28</v>
      </c>
      <c r="D297">
        <v>81</v>
      </c>
      <c r="E297">
        <v>0</v>
      </c>
      <c r="F297">
        <v>1</v>
      </c>
      <c r="G297">
        <v>0</v>
      </c>
      <c r="H297" t="s">
        <v>18</v>
      </c>
      <c r="L297" s="6">
        <v>258</v>
      </c>
      <c r="M297" s="6">
        <v>677103.79480766656</v>
      </c>
      <c r="N297" s="6">
        <v>20784.295192333404</v>
      </c>
    </row>
    <row r="298" spans="1:14">
      <c r="A298">
        <v>668459.37</v>
      </c>
      <c r="B298" s="1">
        <v>5896</v>
      </c>
      <c r="C298">
        <v>55599.56</v>
      </c>
      <c r="D298">
        <v>93.1</v>
      </c>
      <c r="E298">
        <v>0</v>
      </c>
      <c r="F298">
        <v>1</v>
      </c>
      <c r="G298">
        <v>0</v>
      </c>
      <c r="H298" t="s">
        <v>18</v>
      </c>
      <c r="L298" s="6">
        <v>259</v>
      </c>
      <c r="M298" s="6">
        <v>745771.62077966996</v>
      </c>
      <c r="N298" s="6">
        <v>343.96922033000737</v>
      </c>
    </row>
    <row r="299" spans="1:14">
      <c r="A299">
        <v>763162.45</v>
      </c>
      <c r="B299" s="1">
        <v>5903</v>
      </c>
      <c r="C299">
        <v>55477.61</v>
      </c>
      <c r="D299">
        <v>96.2</v>
      </c>
      <c r="E299">
        <v>0</v>
      </c>
      <c r="F299">
        <v>1</v>
      </c>
      <c r="G299">
        <v>0</v>
      </c>
      <c r="H299" t="s">
        <v>18</v>
      </c>
      <c r="L299" s="6">
        <v>260</v>
      </c>
      <c r="M299" s="6">
        <v>726473.01731555583</v>
      </c>
      <c r="N299" s="6">
        <v>49637.302684444119</v>
      </c>
    </row>
    <row r="300" spans="1:14">
      <c r="A300">
        <v>599017.32999999996</v>
      </c>
      <c r="B300" s="1">
        <v>4898</v>
      </c>
      <c r="C300">
        <v>46174.7</v>
      </c>
      <c r="D300">
        <v>91.7</v>
      </c>
      <c r="E300">
        <v>0</v>
      </c>
      <c r="F300">
        <v>1</v>
      </c>
      <c r="G300">
        <v>0</v>
      </c>
      <c r="H300" t="s">
        <v>18</v>
      </c>
      <c r="L300" s="6">
        <v>261</v>
      </c>
      <c r="M300" s="6">
        <v>519593.6761894435</v>
      </c>
      <c r="N300" s="6">
        <v>9258.9438105564914</v>
      </c>
    </row>
    <row r="301" spans="1:14">
      <c r="A301">
        <v>401582.58</v>
      </c>
      <c r="B301" s="1">
        <v>1462</v>
      </c>
      <c r="C301">
        <v>24362.98</v>
      </c>
      <c r="D301">
        <v>89.3</v>
      </c>
      <c r="E301">
        <v>0</v>
      </c>
      <c r="F301">
        <v>1</v>
      </c>
      <c r="G301">
        <v>0</v>
      </c>
      <c r="H301" t="s">
        <v>18</v>
      </c>
      <c r="L301" s="6">
        <v>262</v>
      </c>
      <c r="M301" s="6">
        <v>602731.93900304614</v>
      </c>
      <c r="N301" s="6">
        <v>3019.3909969538217</v>
      </c>
    </row>
    <row r="302" spans="1:14">
      <c r="A302">
        <v>703812.99</v>
      </c>
      <c r="B302" s="1">
        <v>8252</v>
      </c>
      <c r="C302">
        <v>40647.67</v>
      </c>
      <c r="D302">
        <v>88.2</v>
      </c>
      <c r="E302">
        <v>0</v>
      </c>
      <c r="F302">
        <v>0</v>
      </c>
      <c r="G302">
        <v>1</v>
      </c>
      <c r="H302" t="s">
        <v>28</v>
      </c>
      <c r="L302" s="6">
        <v>263</v>
      </c>
      <c r="M302" s="6">
        <v>605318.38703744323</v>
      </c>
      <c r="N302" s="6">
        <v>72322.262962556793</v>
      </c>
    </row>
    <row r="303" spans="1:14">
      <c r="A303">
        <v>724346.73</v>
      </c>
      <c r="B303" s="1">
        <v>7989</v>
      </c>
      <c r="C303">
        <v>63986.98</v>
      </c>
      <c r="D303">
        <v>83.3</v>
      </c>
      <c r="E303">
        <v>0</v>
      </c>
      <c r="F303">
        <v>0</v>
      </c>
      <c r="G303">
        <v>1</v>
      </c>
      <c r="H303" t="s">
        <v>28</v>
      </c>
      <c r="L303" s="6">
        <v>264</v>
      </c>
      <c r="M303" s="6">
        <v>615129.1136905665</v>
      </c>
      <c r="N303" s="6">
        <v>21484.116309433477</v>
      </c>
    </row>
    <row r="304" spans="1:14">
      <c r="A304">
        <v>730890.01</v>
      </c>
      <c r="B304" s="1">
        <v>8268</v>
      </c>
      <c r="C304">
        <v>52843.75</v>
      </c>
      <c r="D304">
        <v>87.3</v>
      </c>
      <c r="E304">
        <v>0</v>
      </c>
      <c r="F304">
        <v>0</v>
      </c>
      <c r="G304">
        <v>1</v>
      </c>
      <c r="H304" t="s">
        <v>28</v>
      </c>
      <c r="L304" s="6">
        <v>265</v>
      </c>
      <c r="M304" s="6">
        <v>732823.68136248621</v>
      </c>
      <c r="N304" s="6">
        <v>-23838.491362486267</v>
      </c>
    </row>
    <row r="305" spans="1:14">
      <c r="A305">
        <v>780580.95</v>
      </c>
      <c r="B305" s="1">
        <v>8183</v>
      </c>
      <c r="C305">
        <v>31997.25</v>
      </c>
      <c r="D305">
        <v>93</v>
      </c>
      <c r="E305">
        <v>0</v>
      </c>
      <c r="F305">
        <v>0</v>
      </c>
      <c r="G305">
        <v>1</v>
      </c>
      <c r="H305" t="s">
        <v>28</v>
      </c>
      <c r="L305" s="6">
        <v>266</v>
      </c>
      <c r="M305" s="6">
        <v>744501.85104554659</v>
      </c>
      <c r="N305" s="6">
        <v>23291.088954453357</v>
      </c>
    </row>
    <row r="306" spans="1:14">
      <c r="A306">
        <v>727957.48</v>
      </c>
      <c r="B306" s="1">
        <v>6534</v>
      </c>
      <c r="C306">
        <v>54948.02</v>
      </c>
      <c r="D306">
        <v>94.5</v>
      </c>
      <c r="E306">
        <v>1</v>
      </c>
      <c r="F306">
        <v>0</v>
      </c>
      <c r="G306">
        <v>0</v>
      </c>
      <c r="H306" t="s">
        <v>16</v>
      </c>
      <c r="L306" s="6">
        <v>267</v>
      </c>
      <c r="M306" s="6">
        <v>728777.59208336403</v>
      </c>
      <c r="N306" s="6">
        <v>16802.917916635983</v>
      </c>
    </row>
    <row r="307" spans="1:14">
      <c r="A307">
        <v>538376</v>
      </c>
      <c r="B307" s="1">
        <v>5804</v>
      </c>
      <c r="C307">
        <v>46146.239999999998</v>
      </c>
      <c r="D307">
        <v>86.9</v>
      </c>
      <c r="E307">
        <v>1</v>
      </c>
      <c r="F307">
        <v>0</v>
      </c>
      <c r="G307">
        <v>0</v>
      </c>
      <c r="H307" t="s">
        <v>16</v>
      </c>
      <c r="L307" s="6">
        <v>268</v>
      </c>
      <c r="M307" s="6">
        <v>731396.58759913431</v>
      </c>
      <c r="N307" s="6">
        <v>30931.72240086575</v>
      </c>
    </row>
    <row r="308" spans="1:14">
      <c r="A308">
        <v>665342.49</v>
      </c>
      <c r="B308" s="1">
        <v>6301</v>
      </c>
      <c r="C308">
        <v>22387.26</v>
      </c>
      <c r="D308">
        <v>85.9</v>
      </c>
      <c r="E308">
        <v>1</v>
      </c>
      <c r="F308">
        <v>0</v>
      </c>
      <c r="G308">
        <v>0</v>
      </c>
      <c r="H308" t="s">
        <v>16</v>
      </c>
      <c r="L308" s="6">
        <v>269</v>
      </c>
      <c r="M308" s="6">
        <v>754203.47268393124</v>
      </c>
      <c r="N308" s="6">
        <v>-93569.482683931245</v>
      </c>
    </row>
    <row r="309" spans="1:14">
      <c r="A309">
        <v>651164.18000000005</v>
      </c>
      <c r="B309" s="1">
        <v>6399</v>
      </c>
      <c r="C309">
        <v>60684.05</v>
      </c>
      <c r="D309">
        <v>99</v>
      </c>
      <c r="E309">
        <v>1</v>
      </c>
      <c r="F309">
        <v>0</v>
      </c>
      <c r="G309">
        <v>0</v>
      </c>
      <c r="H309" t="s">
        <v>16</v>
      </c>
      <c r="L309" s="6">
        <v>270</v>
      </c>
      <c r="M309" s="6">
        <v>705760.01976612746</v>
      </c>
      <c r="N309" s="6">
        <v>33614.540233872598</v>
      </c>
    </row>
    <row r="310" spans="1:14">
      <c r="A310">
        <v>628538.30000000005</v>
      </c>
      <c r="B310" s="1">
        <v>5759</v>
      </c>
      <c r="C310">
        <v>48465.599999999999</v>
      </c>
      <c r="D310">
        <v>87.5</v>
      </c>
      <c r="E310">
        <v>0</v>
      </c>
      <c r="F310">
        <v>1</v>
      </c>
      <c r="G310">
        <v>0</v>
      </c>
      <c r="H310" t="s">
        <v>18</v>
      </c>
      <c r="L310" s="6">
        <v>271</v>
      </c>
      <c r="M310" s="6">
        <v>819509.25623291335</v>
      </c>
      <c r="N310" s="6">
        <v>-19752.796232913388</v>
      </c>
    </row>
    <row r="311" spans="1:14">
      <c r="A311">
        <v>536524.84</v>
      </c>
      <c r="B311" s="1">
        <v>5285</v>
      </c>
      <c r="C311">
        <v>23702.38</v>
      </c>
      <c r="D311">
        <v>79.7</v>
      </c>
      <c r="E311">
        <v>0</v>
      </c>
      <c r="F311">
        <v>1</v>
      </c>
      <c r="G311">
        <v>0</v>
      </c>
      <c r="H311" t="s">
        <v>18</v>
      </c>
      <c r="L311" s="6">
        <v>272</v>
      </c>
      <c r="M311" s="6">
        <v>684306.25284475368</v>
      </c>
      <c r="N311" s="6">
        <v>-90963.252844753675</v>
      </c>
    </row>
    <row r="312" spans="1:14">
      <c r="A312">
        <v>621677.30000000005</v>
      </c>
      <c r="B312" s="1">
        <v>5434</v>
      </c>
      <c r="C312">
        <v>54322.94</v>
      </c>
      <c r="D312">
        <v>85.7</v>
      </c>
      <c r="E312">
        <v>0</v>
      </c>
      <c r="F312">
        <v>1</v>
      </c>
      <c r="G312">
        <v>0</v>
      </c>
      <c r="H312" t="s">
        <v>18</v>
      </c>
      <c r="L312" s="6">
        <v>273</v>
      </c>
      <c r="M312" s="6">
        <v>636566.27334538731</v>
      </c>
      <c r="N312" s="6">
        <v>8473.6966546126641</v>
      </c>
    </row>
    <row r="313" spans="1:14">
      <c r="A313">
        <v>771129.07</v>
      </c>
      <c r="B313" s="1">
        <v>7479</v>
      </c>
      <c r="C313">
        <v>86026.58</v>
      </c>
      <c r="D313">
        <v>89</v>
      </c>
      <c r="E313">
        <v>0</v>
      </c>
      <c r="F313">
        <v>1</v>
      </c>
      <c r="G313">
        <v>0</v>
      </c>
      <c r="H313" t="s">
        <v>18</v>
      </c>
      <c r="L313" s="6">
        <v>274</v>
      </c>
      <c r="M313" s="6">
        <v>525833.88231881126</v>
      </c>
      <c r="N313" s="6">
        <v>35763.4476811887</v>
      </c>
    </row>
    <row r="314" spans="1:14">
      <c r="A314">
        <v>702052.47</v>
      </c>
      <c r="B314" s="1">
        <v>6164</v>
      </c>
      <c r="C314">
        <v>78967.520000000004</v>
      </c>
      <c r="D314">
        <v>85.5</v>
      </c>
      <c r="E314">
        <v>1</v>
      </c>
      <c r="F314">
        <v>0</v>
      </c>
      <c r="G314">
        <v>0</v>
      </c>
      <c r="H314" t="s">
        <v>16</v>
      </c>
      <c r="L314" s="6">
        <v>275</v>
      </c>
      <c r="M314" s="6">
        <v>648664.93768296228</v>
      </c>
      <c r="N314" s="6">
        <v>-12827.197682962287</v>
      </c>
    </row>
    <row r="315" spans="1:14">
      <c r="A315">
        <v>688368.46</v>
      </c>
      <c r="B315" s="1">
        <v>7973</v>
      </c>
      <c r="C315">
        <v>46767.99</v>
      </c>
      <c r="D315">
        <v>94.8</v>
      </c>
      <c r="E315">
        <v>1</v>
      </c>
      <c r="F315">
        <v>0</v>
      </c>
      <c r="G315">
        <v>0</v>
      </c>
      <c r="H315" t="s">
        <v>16</v>
      </c>
      <c r="L315" s="6">
        <v>276</v>
      </c>
      <c r="M315" s="6">
        <v>604537.76642051293</v>
      </c>
      <c r="N315" s="6">
        <v>82200.10357948707</v>
      </c>
    </row>
    <row r="316" spans="1:14">
      <c r="A316">
        <v>712375.77</v>
      </c>
      <c r="B316" s="1">
        <v>6000</v>
      </c>
      <c r="C316">
        <v>62507.16</v>
      </c>
      <c r="D316">
        <v>98.2</v>
      </c>
      <c r="E316">
        <v>1</v>
      </c>
      <c r="F316">
        <v>0</v>
      </c>
      <c r="G316">
        <v>0</v>
      </c>
      <c r="H316" t="s">
        <v>16</v>
      </c>
      <c r="L316" s="6">
        <v>277</v>
      </c>
      <c r="M316" s="6">
        <v>735463.3551826817</v>
      </c>
      <c r="N316" s="6">
        <v>-62387.015182681731</v>
      </c>
    </row>
    <row r="317" spans="1:14">
      <c r="A317">
        <v>844710.67</v>
      </c>
      <c r="B317" s="1">
        <v>9967</v>
      </c>
      <c r="C317">
        <v>66456.28</v>
      </c>
      <c r="D317">
        <v>94.7</v>
      </c>
      <c r="E317">
        <v>1</v>
      </c>
      <c r="F317">
        <v>0</v>
      </c>
      <c r="G317">
        <v>0</v>
      </c>
      <c r="H317" t="s">
        <v>16</v>
      </c>
      <c r="L317" s="6">
        <v>278</v>
      </c>
      <c r="M317" s="6">
        <v>691120.47242521495</v>
      </c>
      <c r="N317" s="6">
        <v>47427.947574785096</v>
      </c>
    </row>
    <row r="318" spans="1:14">
      <c r="A318">
        <v>620264.19999999995</v>
      </c>
      <c r="B318" s="1">
        <v>5639</v>
      </c>
      <c r="C318">
        <v>76614.320000000007</v>
      </c>
      <c r="D318">
        <v>92.9</v>
      </c>
      <c r="E318">
        <v>1</v>
      </c>
      <c r="F318">
        <v>0</v>
      </c>
      <c r="G318">
        <v>0</v>
      </c>
      <c r="H318" t="s">
        <v>16</v>
      </c>
      <c r="L318" s="6">
        <v>279</v>
      </c>
      <c r="M318" s="6">
        <v>742803.51608992903</v>
      </c>
      <c r="N318" s="6">
        <v>13816.253910070984</v>
      </c>
    </row>
    <row r="319" spans="1:14">
      <c r="A319">
        <v>536845.42000000004</v>
      </c>
      <c r="B319" s="1">
        <v>3466</v>
      </c>
      <c r="C319">
        <v>24088.06</v>
      </c>
      <c r="D319">
        <v>88</v>
      </c>
      <c r="E319">
        <v>1</v>
      </c>
      <c r="F319">
        <v>0</v>
      </c>
      <c r="G319">
        <v>0</v>
      </c>
      <c r="H319" t="s">
        <v>16</v>
      </c>
      <c r="L319" s="6">
        <v>280</v>
      </c>
      <c r="M319" s="6">
        <v>762597.64955587266</v>
      </c>
      <c r="N319" s="6">
        <v>-1475.2295558726182</v>
      </c>
    </row>
    <row r="320" spans="1:14">
      <c r="A320">
        <v>726776.22</v>
      </c>
      <c r="B320" s="1">
        <v>7775</v>
      </c>
      <c r="C320">
        <v>81902.58</v>
      </c>
      <c r="D320">
        <v>85.2</v>
      </c>
      <c r="E320">
        <v>1</v>
      </c>
      <c r="F320">
        <v>0</v>
      </c>
      <c r="G320">
        <v>0</v>
      </c>
      <c r="H320" t="s">
        <v>16</v>
      </c>
      <c r="L320" s="6">
        <v>281</v>
      </c>
      <c r="M320" s="6">
        <v>567048.96415686817</v>
      </c>
      <c r="N320" s="6">
        <v>-42149.39415686822</v>
      </c>
    </row>
    <row r="321" spans="1:14">
      <c r="A321">
        <v>559660.84</v>
      </c>
      <c r="B321" s="1">
        <v>5317</v>
      </c>
      <c r="C321">
        <v>40553.11</v>
      </c>
      <c r="D321">
        <v>84.3</v>
      </c>
      <c r="E321">
        <v>1</v>
      </c>
      <c r="F321">
        <v>0</v>
      </c>
      <c r="G321">
        <v>0</v>
      </c>
      <c r="H321" t="s">
        <v>16</v>
      </c>
      <c r="L321" s="6">
        <v>282</v>
      </c>
      <c r="M321" s="6">
        <v>580131.21737512061</v>
      </c>
      <c r="N321" s="6">
        <v>-24573.447375120595</v>
      </c>
    </row>
    <row r="322" spans="1:14">
      <c r="L322" s="6">
        <v>283</v>
      </c>
      <c r="M322" s="6">
        <v>688018.12957746151</v>
      </c>
      <c r="N322" s="6">
        <v>26065.550422538538</v>
      </c>
    </row>
    <row r="323" spans="1:14">
      <c r="L323" s="6">
        <v>284</v>
      </c>
      <c r="M323" s="6">
        <v>494929.18673466326</v>
      </c>
      <c r="N323" s="6">
        <v>2510.6332653367426</v>
      </c>
    </row>
    <row r="324" spans="1:14">
      <c r="L324" s="6">
        <v>285</v>
      </c>
      <c r="M324" s="6">
        <v>629092.07820405019</v>
      </c>
      <c r="N324" s="6">
        <v>7683.5817959498381</v>
      </c>
    </row>
    <row r="325" spans="1:14">
      <c r="L325" s="6">
        <v>286</v>
      </c>
      <c r="M325" s="6">
        <v>622333.11426118645</v>
      </c>
      <c r="N325" s="6">
        <v>10676.415738813579</v>
      </c>
    </row>
    <row r="326" spans="1:14">
      <c r="L326" s="6">
        <v>287</v>
      </c>
      <c r="M326" s="6">
        <v>593732.57265409245</v>
      </c>
      <c r="N326" s="6">
        <v>16216.427345907548</v>
      </c>
    </row>
    <row r="327" spans="1:14">
      <c r="L327" s="6">
        <v>288</v>
      </c>
      <c r="M327" s="6">
        <v>545042.46616154094</v>
      </c>
      <c r="N327" s="6">
        <v>3061.2338384590112</v>
      </c>
    </row>
    <row r="328" spans="1:14">
      <c r="L328" s="6">
        <v>289</v>
      </c>
      <c r="M328" s="6">
        <v>698038.3949412778</v>
      </c>
      <c r="N328" s="6">
        <v>31386.02505872224</v>
      </c>
    </row>
    <row r="329" spans="1:14">
      <c r="L329" s="6">
        <v>290</v>
      </c>
      <c r="M329" s="6">
        <v>722811.88615477178</v>
      </c>
      <c r="N329" s="6">
        <v>-26550.396154771792</v>
      </c>
    </row>
    <row r="330" spans="1:14">
      <c r="L330" s="6">
        <v>291</v>
      </c>
      <c r="M330" s="6">
        <v>707767.97026981018</v>
      </c>
      <c r="N330" s="6">
        <v>105548.73973018979</v>
      </c>
    </row>
    <row r="331" spans="1:14">
      <c r="L331" s="6">
        <v>292</v>
      </c>
      <c r="M331" s="6">
        <v>705917.76704883296</v>
      </c>
      <c r="N331" s="6">
        <v>-3848.8470488329185</v>
      </c>
    </row>
    <row r="332" spans="1:14">
      <c r="L332" s="6">
        <v>293</v>
      </c>
      <c r="M332" s="6">
        <v>579175.34166455432</v>
      </c>
      <c r="N332" s="6">
        <v>-32951.641664554365</v>
      </c>
    </row>
    <row r="333" spans="1:14">
      <c r="L333" s="6">
        <v>294</v>
      </c>
      <c r="M333" s="6">
        <v>521589.20319631806</v>
      </c>
      <c r="N333" s="6">
        <v>11532.056803681946</v>
      </c>
    </row>
    <row r="334" spans="1:14">
      <c r="L334" s="6">
        <v>295</v>
      </c>
      <c r="M334" s="6">
        <v>494890.0591075921</v>
      </c>
      <c r="N334" s="6">
        <v>4080.2608924079104</v>
      </c>
    </row>
    <row r="335" spans="1:14">
      <c r="L335" s="6">
        <v>296</v>
      </c>
      <c r="M335" s="6">
        <v>461665.99567748891</v>
      </c>
      <c r="N335" s="6">
        <v>26072.264322511095</v>
      </c>
    </row>
    <row r="336" spans="1:14">
      <c r="L336" s="6">
        <v>297</v>
      </c>
      <c r="M336" s="6">
        <v>672473.5933320506</v>
      </c>
      <c r="N336" s="6">
        <v>-4014.2233320506057</v>
      </c>
    </row>
    <row r="337" spans="12:14">
      <c r="L337" s="6">
        <v>298</v>
      </c>
      <c r="M337" s="6">
        <v>682060.97478900314</v>
      </c>
      <c r="N337" s="6">
        <v>81101.47521099681</v>
      </c>
    </row>
    <row r="338" spans="12:14">
      <c r="L338" s="6">
        <v>299</v>
      </c>
      <c r="M338" s="6">
        <v>623479.01405073307</v>
      </c>
      <c r="N338" s="6">
        <v>-24461.684050733107</v>
      </c>
    </row>
    <row r="339" spans="12:14">
      <c r="L339" s="6">
        <v>300</v>
      </c>
      <c r="M339" s="6">
        <v>474725.28727821598</v>
      </c>
      <c r="N339" s="6">
        <v>-73142.707278215967</v>
      </c>
    </row>
    <row r="340" spans="12:14">
      <c r="L340" s="6">
        <v>301</v>
      </c>
      <c r="M340" s="6">
        <v>730881.05418276624</v>
      </c>
      <c r="N340" s="6">
        <v>-27068.064182766248</v>
      </c>
    </row>
    <row r="341" spans="12:14">
      <c r="L341" s="6">
        <v>302</v>
      </c>
      <c r="M341" s="6">
        <v>734477.34358547488</v>
      </c>
      <c r="N341" s="6">
        <v>-10130.613585474901</v>
      </c>
    </row>
    <row r="342" spans="12:14">
      <c r="L342" s="6">
        <v>303</v>
      </c>
      <c r="M342" s="6">
        <v>743014.51983042131</v>
      </c>
      <c r="N342" s="6">
        <v>-12124.509830421302</v>
      </c>
    </row>
    <row r="343" spans="12:14">
      <c r="L343" s="6">
        <v>304</v>
      </c>
      <c r="M343" s="6">
        <v>733079.99200802029</v>
      </c>
      <c r="N343" s="6">
        <v>47500.957991979667</v>
      </c>
    </row>
    <row r="344" spans="12:14">
      <c r="L344" s="6">
        <v>305</v>
      </c>
      <c r="M344" s="6">
        <v>680788.48131714924</v>
      </c>
      <c r="N344" s="6">
        <v>47168.998682850739</v>
      </c>
    </row>
    <row r="345" spans="12:14">
      <c r="L345" s="6">
        <v>306</v>
      </c>
      <c r="M345" s="6">
        <v>622564.08933798946</v>
      </c>
      <c r="N345" s="6">
        <v>-84188.089337989455</v>
      </c>
    </row>
    <row r="346" spans="12:14">
      <c r="L346" s="6">
        <v>307</v>
      </c>
      <c r="M346" s="6">
        <v>608284.61843683571</v>
      </c>
      <c r="N346" s="6">
        <v>57057.871563164284</v>
      </c>
    </row>
    <row r="347" spans="12:14">
      <c r="L347" s="6">
        <v>308</v>
      </c>
      <c r="M347" s="6">
        <v>696774.00801748107</v>
      </c>
      <c r="N347" s="6">
        <v>-45609.828017481021</v>
      </c>
    </row>
    <row r="348" spans="12:14">
      <c r="L348" s="6">
        <v>309</v>
      </c>
      <c r="M348" s="6">
        <v>642311.95813427842</v>
      </c>
      <c r="N348" s="6">
        <v>-13773.658134278376</v>
      </c>
    </row>
    <row r="349" spans="12:14">
      <c r="L349" s="6">
        <v>310</v>
      </c>
      <c r="M349" s="6">
        <v>573316.09317602043</v>
      </c>
      <c r="N349" s="6">
        <v>-36791.253176020458</v>
      </c>
    </row>
    <row r="350" spans="12:14">
      <c r="L350" s="6">
        <v>311</v>
      </c>
      <c r="M350" s="6">
        <v>632743.86745812627</v>
      </c>
      <c r="N350" s="6">
        <v>-11066.567458126228</v>
      </c>
    </row>
    <row r="351" spans="12:14">
      <c r="L351" s="6">
        <v>312</v>
      </c>
      <c r="M351" s="6">
        <v>749040.23979340971</v>
      </c>
      <c r="N351" s="6">
        <v>22088.830206590239</v>
      </c>
    </row>
    <row r="352" spans="12:14">
      <c r="L352" s="6">
        <v>313</v>
      </c>
      <c r="M352" s="6">
        <v>669022.98079370428</v>
      </c>
      <c r="N352" s="6">
        <v>33029.489206295693</v>
      </c>
    </row>
    <row r="353" spans="12:14">
      <c r="L353" s="6">
        <v>314</v>
      </c>
      <c r="M353" s="6">
        <v>720552.55492712464</v>
      </c>
      <c r="N353" s="6">
        <v>-32184.094927124679</v>
      </c>
    </row>
    <row r="354" spans="12:14">
      <c r="L354" s="6">
        <v>315</v>
      </c>
      <c r="M354" s="6">
        <v>683029.17464029277</v>
      </c>
      <c r="N354" s="6">
        <v>29346.595359707251</v>
      </c>
    </row>
    <row r="355" spans="12:14">
      <c r="L355" s="6">
        <v>316</v>
      </c>
      <c r="M355" s="6">
        <v>810578.58590969932</v>
      </c>
      <c r="N355" s="6">
        <v>34132.084090300719</v>
      </c>
    </row>
    <row r="356" spans="12:14">
      <c r="L356" s="6">
        <v>317</v>
      </c>
      <c r="M356" s="6">
        <v>671235.79770815</v>
      </c>
      <c r="N356" s="6">
        <v>-50971.597708150046</v>
      </c>
    </row>
    <row r="357" spans="12:14">
      <c r="L357" s="6">
        <v>318</v>
      </c>
      <c r="M357" s="6">
        <v>521225.18530127924</v>
      </c>
      <c r="N357" s="6">
        <v>15620.2346987208</v>
      </c>
    </row>
    <row r="358" spans="12:14">
      <c r="L358" s="6">
        <v>319</v>
      </c>
      <c r="M358" s="6">
        <v>725822.03313442948</v>
      </c>
      <c r="N358" s="6">
        <v>954.18686557048932</v>
      </c>
    </row>
    <row r="359" spans="12:14" ht="15" thickBot="1">
      <c r="L359" s="7">
        <v>320</v>
      </c>
      <c r="M359" s="7">
        <v>591615.10526514356</v>
      </c>
      <c r="N359" s="7">
        <v>-31954.265265143593</v>
      </c>
    </row>
  </sheetData>
  <mergeCells count="1">
    <mergeCell ref="L7:M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2904-5DCC-49D2-A32B-EB9067501017}">
  <dimension ref="A1:W321"/>
  <sheetViews>
    <sheetView zoomScale="74" workbookViewId="0">
      <selection activeCell="B2" sqref="B2"/>
    </sheetView>
  </sheetViews>
  <sheetFormatPr defaultColWidth="13.77734375" defaultRowHeight="14.4"/>
  <sheetData>
    <row r="1" spans="1:23" ht="55.2">
      <c r="A1" s="2" t="s">
        <v>0</v>
      </c>
      <c r="B1" s="2" t="s">
        <v>1</v>
      </c>
      <c r="C1" s="2" t="s">
        <v>2</v>
      </c>
      <c r="D1" s="2" t="s">
        <v>102</v>
      </c>
      <c r="E1" s="2" t="s">
        <v>103</v>
      </c>
      <c r="F1" s="2" t="s">
        <v>104</v>
      </c>
      <c r="G1" s="2" t="s">
        <v>3</v>
      </c>
      <c r="H1" s="2" t="s">
        <v>137</v>
      </c>
      <c r="I1" s="2" t="s">
        <v>105</v>
      </c>
      <c r="J1" s="2" t="s">
        <v>106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160</v>
      </c>
      <c r="V1" s="2" t="s">
        <v>116</v>
      </c>
      <c r="W1" s="2" t="s">
        <v>161</v>
      </c>
    </row>
    <row r="2" spans="1:23">
      <c r="A2" s="1" t="s">
        <v>38</v>
      </c>
      <c r="B2" s="3">
        <v>45717</v>
      </c>
      <c r="C2" s="1" t="s">
        <v>27</v>
      </c>
      <c r="D2" s="1">
        <f>IF(C2="East",1,0)</f>
        <v>0</v>
      </c>
      <c r="E2" s="1">
        <f>IF(C2="West",1,0)</f>
        <v>1</v>
      </c>
      <c r="F2" s="1">
        <f>IF(C2="North",1,0)</f>
        <v>0</v>
      </c>
      <c r="G2" s="1" t="s">
        <v>18</v>
      </c>
      <c r="H2" s="1">
        <f>IF(G2="Residential",1,0)</f>
        <v>0</v>
      </c>
      <c r="I2" s="1">
        <f>IF(G2="High Street",1,0)</f>
        <v>1</v>
      </c>
      <c r="J2" s="1">
        <f>IF(G2="Mall",1,0)</f>
        <v>0</v>
      </c>
      <c r="K2" s="1">
        <v>79346.100000000006</v>
      </c>
      <c r="L2" s="1">
        <v>9628</v>
      </c>
      <c r="M2" s="1">
        <v>0.10199999999999999</v>
      </c>
      <c r="N2" s="1">
        <v>20</v>
      </c>
      <c r="O2" s="1">
        <v>99</v>
      </c>
      <c r="P2" s="1">
        <v>19.010000000000002</v>
      </c>
      <c r="Q2" s="1">
        <v>1</v>
      </c>
      <c r="R2" s="1">
        <v>3.2</v>
      </c>
      <c r="S2" s="1">
        <v>685379.08</v>
      </c>
      <c r="T2" s="1">
        <v>106898.82</v>
      </c>
      <c r="U2">
        <f>146249.7963 + (33.6835738*L2) + (1.176703422*K2) + (3062.934007*O2) + (-39654.57312*H2) + (-22957.90276*I2) + (-11306.62502*J2)</f>
        <v>844194.63617175422</v>
      </c>
      <c r="V2">
        <f>S2-U2</f>
        <v>-158815.55617175426</v>
      </c>
      <c r="W2" s="30">
        <f>V2/S2*100</f>
        <v>-23.171929346275679</v>
      </c>
    </row>
    <row r="3" spans="1:23">
      <c r="A3" s="1" t="s">
        <v>44</v>
      </c>
      <c r="B3" s="3">
        <v>45689</v>
      </c>
      <c r="C3" s="1" t="s">
        <v>24</v>
      </c>
      <c r="D3" s="1">
        <f>IF(C3="East",1,0)</f>
        <v>0</v>
      </c>
      <c r="E3" s="1">
        <f>IF(C3="West",1,0)</f>
        <v>0</v>
      </c>
      <c r="F3" s="1">
        <f>IF(C3="North",1,0)</f>
        <v>0</v>
      </c>
      <c r="G3" s="1" t="s">
        <v>28</v>
      </c>
      <c r="H3" s="1">
        <f>IF(G3="Residential",1,0)</f>
        <v>0</v>
      </c>
      <c r="I3" s="1">
        <f>IF(G3="High Street",1,0)</f>
        <v>0</v>
      </c>
      <c r="J3" s="1">
        <f>IF(G3="Mall",1,0)</f>
        <v>1</v>
      </c>
      <c r="K3" s="1">
        <v>141540.29</v>
      </c>
      <c r="L3" s="1">
        <v>5400</v>
      </c>
      <c r="M3" s="1">
        <v>1.2999999999999999E-2</v>
      </c>
      <c r="N3" s="1">
        <v>12</v>
      </c>
      <c r="O3" s="1">
        <v>87</v>
      </c>
      <c r="P3" s="1">
        <v>4.26</v>
      </c>
      <c r="Q3" s="1">
        <v>0</v>
      </c>
      <c r="R3" s="1">
        <v>4.5</v>
      </c>
      <c r="S3" s="1">
        <v>627171.9</v>
      </c>
      <c r="T3" s="1">
        <v>105772.75</v>
      </c>
      <c r="U3">
        <f>146249.7963 + (33.6835738*L3) + (1.176703422*K3) + (3062.934007*O3) + (-39654.57312*H3) + (-22957.90276*I3) + (-11306.62502*J3)</f>
        <v>749860.67200287234</v>
      </c>
      <c r="V3">
        <f>S3-U3</f>
        <v>-122688.77200287231</v>
      </c>
      <c r="W3" s="30">
        <f>V3/S3*100</f>
        <v>-19.562224009537466</v>
      </c>
    </row>
    <row r="4" spans="1:23">
      <c r="A4" s="1" t="s">
        <v>33</v>
      </c>
      <c r="B4" s="3">
        <v>45658</v>
      </c>
      <c r="C4" s="1" t="s">
        <v>27</v>
      </c>
      <c r="D4" s="1">
        <f>IF(C4="East",1,0)</f>
        <v>0</v>
      </c>
      <c r="E4" s="1">
        <f>IF(C4="West",1,0)</f>
        <v>1</v>
      </c>
      <c r="F4" s="1">
        <f>IF(C4="North",1,0)</f>
        <v>0</v>
      </c>
      <c r="G4" s="1" t="s">
        <v>16</v>
      </c>
      <c r="H4" s="1">
        <f>IF(G4="Residential",1,0)</f>
        <v>1</v>
      </c>
      <c r="I4" s="1">
        <f>IF(G4="High Street",1,0)</f>
        <v>0</v>
      </c>
      <c r="J4" s="1">
        <f>IF(G4="Mall",1,0)</f>
        <v>0</v>
      </c>
      <c r="K4" s="1">
        <v>138855.51</v>
      </c>
      <c r="L4" s="1">
        <v>5145</v>
      </c>
      <c r="M4" s="1">
        <v>0.06</v>
      </c>
      <c r="N4" s="1">
        <v>17</v>
      </c>
      <c r="O4" s="1">
        <v>88.2</v>
      </c>
      <c r="P4" s="1">
        <v>9.58</v>
      </c>
      <c r="Q4" s="1">
        <v>0</v>
      </c>
      <c r="R4" s="1">
        <v>3.2</v>
      </c>
      <c r="S4" s="1">
        <v>595467.6</v>
      </c>
      <c r="T4" s="1">
        <v>104276.46</v>
      </c>
      <c r="U4">
        <f>146249.7963 + (33.6835738*L4) + (1.176703422*K4) + (3062.934007*O4) + (-39654.57312*H4) + (-22957.90276*I4) + (-11306.62502*J4)</f>
        <v>713439.7435789553</v>
      </c>
      <c r="V4">
        <f>S4-U4</f>
        <v>-117972.14357895532</v>
      </c>
      <c r="W4" s="30">
        <f>V4/S4*100</f>
        <v>-19.811681370901681</v>
      </c>
    </row>
    <row r="5" spans="1:23">
      <c r="A5" s="1" t="s">
        <v>26</v>
      </c>
      <c r="B5" s="3">
        <v>45689</v>
      </c>
      <c r="C5" s="1" t="s">
        <v>27</v>
      </c>
      <c r="D5" s="1">
        <f>IF(C5="East",1,0)</f>
        <v>0</v>
      </c>
      <c r="E5" s="1">
        <f>IF(C5="West",1,0)</f>
        <v>1</v>
      </c>
      <c r="F5" s="1">
        <f>IF(C5="North",1,0)</f>
        <v>0</v>
      </c>
      <c r="G5" s="1" t="s">
        <v>28</v>
      </c>
      <c r="H5" s="1">
        <f>IF(G5="Residential",1,0)</f>
        <v>0</v>
      </c>
      <c r="I5" s="1">
        <f>IF(G5="High Street",1,0)</f>
        <v>0</v>
      </c>
      <c r="J5" s="1">
        <f>IF(G5="Mall",1,0)</f>
        <v>1</v>
      </c>
      <c r="K5" s="1">
        <v>172415.52</v>
      </c>
      <c r="L5" s="1">
        <v>8927</v>
      </c>
      <c r="M5" s="1">
        <v>0.14000000000000001</v>
      </c>
      <c r="N5" s="1">
        <v>22</v>
      </c>
      <c r="O5" s="1">
        <v>86.2</v>
      </c>
      <c r="P5" s="1">
        <v>7.04</v>
      </c>
      <c r="Q5" s="1">
        <v>0</v>
      </c>
      <c r="R5" s="1">
        <v>3.9</v>
      </c>
      <c r="S5" s="1">
        <v>800451.94</v>
      </c>
      <c r="T5" s="1">
        <v>111572.29</v>
      </c>
      <c r="U5">
        <f>146249.7963 + (33.6835738*L5) + (1.176703422*K5) + (3062.934007*O5) + (-39654.57312*H5) + (-22957.90276*I5) + (-11306.62502*J5)</f>
        <v>902543.27838590939</v>
      </c>
      <c r="V5">
        <f>S5-U5</f>
        <v>-102091.33838590945</v>
      </c>
      <c r="W5" s="30">
        <f>V5/S5*100</f>
        <v>-12.754212124953993</v>
      </c>
    </row>
    <row r="6" spans="1:23">
      <c r="A6" s="1" t="s">
        <v>30</v>
      </c>
      <c r="B6" s="3">
        <v>45658</v>
      </c>
      <c r="C6" s="1" t="s">
        <v>20</v>
      </c>
      <c r="D6" s="1">
        <f>IF(C6="East",1,0)</f>
        <v>0</v>
      </c>
      <c r="E6" s="1">
        <f>IF(C6="West",1,0)</f>
        <v>0</v>
      </c>
      <c r="F6" s="1">
        <f>IF(C6="North",1,0)</f>
        <v>1</v>
      </c>
      <c r="G6" s="1" t="s">
        <v>16</v>
      </c>
      <c r="H6" s="1">
        <f>IF(G6="Residential",1,0)</f>
        <v>1</v>
      </c>
      <c r="I6" s="1">
        <f>IF(G6="High Street",1,0)</f>
        <v>0</v>
      </c>
      <c r="J6" s="1">
        <f>IF(G6="Mall",1,0)</f>
        <v>0</v>
      </c>
      <c r="K6" s="1">
        <v>54597.83</v>
      </c>
      <c r="L6" s="1">
        <v>9429</v>
      </c>
      <c r="M6" s="1">
        <v>0.188</v>
      </c>
      <c r="N6" s="1">
        <v>21</v>
      </c>
      <c r="O6" s="1">
        <v>83.3</v>
      </c>
      <c r="P6" s="1">
        <v>11.71</v>
      </c>
      <c r="Q6" s="1">
        <v>0</v>
      </c>
      <c r="R6" s="1">
        <v>4.2</v>
      </c>
      <c r="S6" s="1">
        <v>641865.03</v>
      </c>
      <c r="T6" s="1">
        <v>81342.58</v>
      </c>
      <c r="U6">
        <f>146249.7963 + (33.6835738*L6) + (1.176703422*K6) + (3062.934007*O6) + (-39654.57312*H6) + (-22957.90276*I6) + (-11306.62502*J6)</f>
        <v>743585.49671807431</v>
      </c>
      <c r="V6">
        <f>S6-U6</f>
        <v>-101720.46671807428</v>
      </c>
      <c r="W6" s="30">
        <f>V6/S6*100</f>
        <v>-15.847641165008518</v>
      </c>
    </row>
    <row r="7" spans="1:23">
      <c r="A7" s="1" t="s">
        <v>14</v>
      </c>
      <c r="B7" s="3">
        <v>45748</v>
      </c>
      <c r="C7" s="1" t="s">
        <v>15</v>
      </c>
      <c r="D7" s="1">
        <f>IF(C7="East",1,0)</f>
        <v>1</v>
      </c>
      <c r="E7" s="1">
        <f>IF(C7="West",1,0)</f>
        <v>0</v>
      </c>
      <c r="F7" s="1">
        <f>IF(C7="North",1,0)</f>
        <v>0</v>
      </c>
      <c r="G7" s="1" t="s">
        <v>16</v>
      </c>
      <c r="H7" s="1">
        <f>IF(G7="Residential",1,0)</f>
        <v>1</v>
      </c>
      <c r="I7" s="1">
        <f>IF(G7="High Street",1,0)</f>
        <v>0</v>
      </c>
      <c r="J7" s="1">
        <f>IF(G7="Mall",1,0)</f>
        <v>0</v>
      </c>
      <c r="K7" s="1">
        <v>56856.63</v>
      </c>
      <c r="L7" s="1">
        <v>9431</v>
      </c>
      <c r="M7" s="1">
        <v>0.14199999999999999</v>
      </c>
      <c r="N7" s="1">
        <v>23</v>
      </c>
      <c r="O7" s="1">
        <v>86.9</v>
      </c>
      <c r="P7" s="1">
        <v>4.97</v>
      </c>
      <c r="Q7" s="1">
        <v>0</v>
      </c>
      <c r="R7" s="1">
        <v>3.4</v>
      </c>
      <c r="S7" s="1">
        <v>658920.30000000005</v>
      </c>
      <c r="T7" s="1">
        <v>97910.37</v>
      </c>
      <c r="U7">
        <f>146249.7963 + (33.6835738*L7) + (1.176703422*K7) + (3062.934007*O7) + (-39654.57312*H7) + (-22957.90276*I7) + (-11306.62502*J7)</f>
        <v>757337.3639804878</v>
      </c>
      <c r="V7">
        <f>S7-U7</f>
        <v>-98417.063980487757</v>
      </c>
      <c r="W7" s="30">
        <f>V7/S7*100</f>
        <v>-14.936110479596357</v>
      </c>
    </row>
    <row r="8" spans="1:23">
      <c r="A8" s="1" t="s">
        <v>89</v>
      </c>
      <c r="B8" s="3">
        <v>45658</v>
      </c>
      <c r="C8" s="1" t="s">
        <v>15</v>
      </c>
      <c r="D8" s="1">
        <f>IF(C8="East",1,0)</f>
        <v>1</v>
      </c>
      <c r="E8" s="1">
        <f>IF(C8="West",1,0)</f>
        <v>0</v>
      </c>
      <c r="F8" s="1">
        <f>IF(C8="North",1,0)</f>
        <v>0</v>
      </c>
      <c r="G8" s="1" t="s">
        <v>28</v>
      </c>
      <c r="H8" s="1">
        <f>IF(G8="Residential",1,0)</f>
        <v>0</v>
      </c>
      <c r="I8" s="1">
        <f>IF(G8="High Street",1,0)</f>
        <v>0</v>
      </c>
      <c r="J8" s="1">
        <f>IF(G8="Mall",1,0)</f>
        <v>1</v>
      </c>
      <c r="K8" s="1">
        <v>48752.92</v>
      </c>
      <c r="L8" s="1">
        <v>8052</v>
      </c>
      <c r="M8" s="1">
        <v>0.106</v>
      </c>
      <c r="N8" s="1">
        <v>16</v>
      </c>
      <c r="O8" s="1">
        <v>94.9</v>
      </c>
      <c r="P8" s="1">
        <v>0.65</v>
      </c>
      <c r="Q8" s="1">
        <v>0</v>
      </c>
      <c r="R8" s="1">
        <v>3.6</v>
      </c>
      <c r="S8" s="1">
        <v>660633.99</v>
      </c>
      <c r="T8" s="1">
        <v>118768.66</v>
      </c>
      <c r="U8">
        <f>146249.7963 + (33.6835738*L8) + (1.176703422*K8) + (3062.934007*O8) + (-39654.57312*H8) + (-22957.90276*I8) + (-11306.62502*J8)</f>
        <v>754203.47257839225</v>
      </c>
      <c r="V8">
        <f>S8-U8</f>
        <v>-93569.482578392257</v>
      </c>
      <c r="W8" s="30">
        <f>V8/S8*100</f>
        <v>-14.163588915307287</v>
      </c>
    </row>
    <row r="9" spans="1:23">
      <c r="A9" s="1" t="s">
        <v>73</v>
      </c>
      <c r="B9" s="3">
        <v>45748</v>
      </c>
      <c r="C9" s="1" t="s">
        <v>15</v>
      </c>
      <c r="D9" s="1">
        <f>IF(C9="East",1,0)</f>
        <v>1</v>
      </c>
      <c r="E9" s="1">
        <f>IF(C9="West",1,0)</f>
        <v>0</v>
      </c>
      <c r="F9" s="1">
        <f>IF(C9="North",1,0)</f>
        <v>0</v>
      </c>
      <c r="G9" s="1" t="s">
        <v>28</v>
      </c>
      <c r="H9" s="1">
        <f>IF(G9="Residential",1,0)</f>
        <v>0</v>
      </c>
      <c r="I9" s="1">
        <f>IF(G9="High Street",1,0)</f>
        <v>0</v>
      </c>
      <c r="J9" s="1">
        <f>IF(G9="Mall",1,0)</f>
        <v>1</v>
      </c>
      <c r="K9" s="1">
        <v>56413.83</v>
      </c>
      <c r="L9" s="1">
        <v>8303</v>
      </c>
      <c r="M9" s="1">
        <v>0.11600000000000001</v>
      </c>
      <c r="N9" s="1">
        <v>18</v>
      </c>
      <c r="O9" s="1">
        <v>93.6</v>
      </c>
      <c r="P9" s="1">
        <v>2.7</v>
      </c>
      <c r="Q9" s="1">
        <v>0</v>
      </c>
      <c r="R9" s="1">
        <v>3.7</v>
      </c>
      <c r="S9" s="1">
        <v>675917.63</v>
      </c>
      <c r="T9" s="1">
        <v>112564.75</v>
      </c>
      <c r="U9">
        <f>146249.7963 + (33.6835738*L9) + (1.176703422*K9) + (3062.934007*O9) + (-39654.57312*H9) + (-22957.90276*I9) + (-11306.62502*J9)</f>
        <v>767690.85440572619</v>
      </c>
      <c r="V9">
        <f>S9-U9</f>
        <v>-91773.224405726185</v>
      </c>
      <c r="W9" s="30">
        <f>V9/S9*100</f>
        <v>-13.577575185563095</v>
      </c>
    </row>
    <row r="10" spans="1:23">
      <c r="A10" s="1" t="s">
        <v>89</v>
      </c>
      <c r="B10" s="3">
        <v>45748</v>
      </c>
      <c r="C10" s="1" t="s">
        <v>15</v>
      </c>
      <c r="D10" s="1">
        <f>IF(C10="East",1,0)</f>
        <v>1</v>
      </c>
      <c r="E10" s="1">
        <f>IF(C10="West",1,0)</f>
        <v>0</v>
      </c>
      <c r="F10" s="1">
        <f>IF(C10="North",1,0)</f>
        <v>0</v>
      </c>
      <c r="G10" s="1" t="s">
        <v>28</v>
      </c>
      <c r="H10" s="1">
        <f>IF(G10="Residential",1,0)</f>
        <v>0</v>
      </c>
      <c r="I10" s="1">
        <f>IF(G10="High Street",1,0)</f>
        <v>0</v>
      </c>
      <c r="J10" s="1">
        <f>IF(G10="Mall",1,0)</f>
        <v>1</v>
      </c>
      <c r="K10" s="1">
        <v>29344.93</v>
      </c>
      <c r="L10" s="1">
        <v>7446</v>
      </c>
      <c r="M10" s="1">
        <v>0.111</v>
      </c>
      <c r="N10" s="1">
        <v>15</v>
      </c>
      <c r="O10" s="1">
        <v>86.2</v>
      </c>
      <c r="P10" s="1">
        <v>0.2</v>
      </c>
      <c r="Q10" s="1">
        <v>0</v>
      </c>
      <c r="R10" s="1">
        <v>3.2</v>
      </c>
      <c r="S10" s="1">
        <v>593343</v>
      </c>
      <c r="T10" s="1">
        <v>82832.240000000005</v>
      </c>
      <c r="U10">
        <f>146249.7963 + (33.6835738*L10) + (1.176703422*K10) + (3062.934007*O10) + (-39654.57312*H10) + (-22957.90276*I10) + (-11306.62502*J10)</f>
        <v>684306.25274755037</v>
      </c>
      <c r="V10">
        <f>S10-U10</f>
        <v>-90963.252747550374</v>
      </c>
      <c r="W10" s="30">
        <f>V10/S10*100</f>
        <v>-15.330635525749924</v>
      </c>
    </row>
    <row r="11" spans="1:23">
      <c r="A11" s="1" t="s">
        <v>35</v>
      </c>
      <c r="B11" s="3">
        <v>45658</v>
      </c>
      <c r="C11" s="1" t="s">
        <v>27</v>
      </c>
      <c r="D11" s="1">
        <f>IF(C11="East",1,0)</f>
        <v>0</v>
      </c>
      <c r="E11" s="1">
        <f>IF(C11="West",1,0)</f>
        <v>1</v>
      </c>
      <c r="F11" s="1">
        <f>IF(C11="North",1,0)</f>
        <v>0</v>
      </c>
      <c r="G11" s="1" t="s">
        <v>18</v>
      </c>
      <c r="H11" s="1">
        <f>IF(G11="Residential",1,0)</f>
        <v>0</v>
      </c>
      <c r="I11" s="1">
        <f>IF(G11="High Street",1,0)</f>
        <v>1</v>
      </c>
      <c r="J11" s="1">
        <f>IF(G11="Mall",1,0)</f>
        <v>0</v>
      </c>
      <c r="K11" s="1">
        <v>53015.46</v>
      </c>
      <c r="L11" s="1">
        <v>3279</v>
      </c>
      <c r="M11" s="1">
        <v>8.6999999999999994E-2</v>
      </c>
      <c r="N11" s="1">
        <v>9</v>
      </c>
      <c r="O11" s="1">
        <v>84.3</v>
      </c>
      <c r="P11" s="1">
        <v>22.02</v>
      </c>
      <c r="Q11" s="1">
        <v>0</v>
      </c>
      <c r="R11" s="1">
        <v>3.9</v>
      </c>
      <c r="S11" s="1">
        <v>463534.25</v>
      </c>
      <c r="T11" s="1">
        <v>81834.539999999994</v>
      </c>
      <c r="U11">
        <f>146249.7963 + (33.6835738*L11) + (1.176703422*K11) + (3062.934007*O11) + (-39654.57312*H11) + (-22957.90276*I11) + (-11306.62502*J11)</f>
        <v>554329.14202120411</v>
      </c>
      <c r="V11">
        <f>S11-U11</f>
        <v>-90794.892021204112</v>
      </c>
      <c r="W11" s="30">
        <f>V11/S11*100</f>
        <v>-19.587526061171122</v>
      </c>
    </row>
    <row r="12" spans="1:23">
      <c r="A12" s="1" t="s">
        <v>74</v>
      </c>
      <c r="B12" s="3">
        <v>45689</v>
      </c>
      <c r="C12" s="1" t="s">
        <v>15</v>
      </c>
      <c r="D12" s="1">
        <f>IF(C12="East",1,0)</f>
        <v>1</v>
      </c>
      <c r="E12" s="1">
        <f>IF(C12="West",1,0)</f>
        <v>0</v>
      </c>
      <c r="F12" s="1">
        <f>IF(C12="North",1,0)</f>
        <v>0</v>
      </c>
      <c r="G12" s="1" t="s">
        <v>18</v>
      </c>
      <c r="H12" s="1">
        <f>IF(G12="Residential",1,0)</f>
        <v>0</v>
      </c>
      <c r="I12" s="1">
        <f>IF(G12="High Street",1,0)</f>
        <v>1</v>
      </c>
      <c r="J12" s="1">
        <f>IF(G12="Mall",1,0)</f>
        <v>0</v>
      </c>
      <c r="K12" s="1">
        <v>62949.7</v>
      </c>
      <c r="L12" s="1">
        <v>9458</v>
      </c>
      <c r="M12" s="1">
        <v>0.17100000000000001</v>
      </c>
      <c r="N12" s="1">
        <v>19</v>
      </c>
      <c r="O12" s="1">
        <v>84.9</v>
      </c>
      <c r="P12" s="1">
        <v>5.09</v>
      </c>
      <c r="Q12" s="1">
        <v>0</v>
      </c>
      <c r="R12" s="1">
        <v>3.3</v>
      </c>
      <c r="S12" s="1">
        <v>691288.19</v>
      </c>
      <c r="T12" s="1">
        <v>159074.14000000001</v>
      </c>
      <c r="U12">
        <f>146249.7963 + (33.6835738*L12) + (1.176703422*K12) + (3062.934007*O12) + (-39654.57312*H12) + (-22957.90276*I12) + (-11306.62502*J12)</f>
        <v>775987.3591385734</v>
      </c>
      <c r="V12">
        <f>S12-U12</f>
        <v>-84699.169138573459</v>
      </c>
      <c r="W12" s="30">
        <f>V12/S12*100</f>
        <v>-12.25236744440455</v>
      </c>
    </row>
    <row r="13" spans="1:23">
      <c r="A13" s="1" t="s">
        <v>98</v>
      </c>
      <c r="B13" s="3">
        <v>45689</v>
      </c>
      <c r="C13" s="1" t="s">
        <v>24</v>
      </c>
      <c r="D13" s="1">
        <f>IF(C13="East",1,0)</f>
        <v>0</v>
      </c>
      <c r="E13" s="1">
        <f>IF(C13="West",1,0)</f>
        <v>0</v>
      </c>
      <c r="F13" s="1">
        <f>IF(C13="North",1,0)</f>
        <v>0</v>
      </c>
      <c r="G13" s="1" t="s">
        <v>16</v>
      </c>
      <c r="H13" s="1">
        <f>IF(G13="Residential",1,0)</f>
        <v>1</v>
      </c>
      <c r="I13" s="1">
        <f>IF(G13="High Street",1,0)</f>
        <v>0</v>
      </c>
      <c r="J13" s="1">
        <f>IF(G13="Mall",1,0)</f>
        <v>0</v>
      </c>
      <c r="K13" s="1">
        <v>46146.239999999998</v>
      </c>
      <c r="L13" s="1">
        <v>5804</v>
      </c>
      <c r="M13" s="1">
        <v>4.7E-2</v>
      </c>
      <c r="N13" s="1">
        <v>16</v>
      </c>
      <c r="O13" s="1">
        <v>86.9</v>
      </c>
      <c r="P13" s="1">
        <v>15.82</v>
      </c>
      <c r="Q13" s="1">
        <v>0</v>
      </c>
      <c r="R13" s="1">
        <v>3.8</v>
      </c>
      <c r="S13" s="1">
        <v>538376</v>
      </c>
      <c r="T13" s="1">
        <v>87605.62</v>
      </c>
      <c r="U13">
        <f>146249.7963 + (33.6835738*L13) + (1.176703422*K13) + (3062.934007*O13) + (-39654.57312*H13) + (-22957.90276*I13) + (-11306.62502*J13)</f>
        <v>622564.08924393321</v>
      </c>
      <c r="V13">
        <f>S13-U13</f>
        <v>-84188.089243933209</v>
      </c>
      <c r="W13" s="30">
        <f>V13/S13*100</f>
        <v>-15.637414974652142</v>
      </c>
    </row>
    <row r="14" spans="1:23">
      <c r="A14" s="1" t="s">
        <v>25</v>
      </c>
      <c r="B14" s="3">
        <v>45658</v>
      </c>
      <c r="C14" s="1" t="s">
        <v>20</v>
      </c>
      <c r="D14" s="1">
        <f>IF(C14="East",1,0)</f>
        <v>0</v>
      </c>
      <c r="E14" s="1">
        <f>IF(C14="West",1,0)</f>
        <v>0</v>
      </c>
      <c r="F14" s="1">
        <f>IF(C14="North",1,0)</f>
        <v>1</v>
      </c>
      <c r="G14" s="1" t="s">
        <v>16</v>
      </c>
      <c r="H14" s="1">
        <f>IF(G14="Residential",1,0)</f>
        <v>1</v>
      </c>
      <c r="I14" s="1">
        <f>IF(G14="High Street",1,0)</f>
        <v>0</v>
      </c>
      <c r="J14" s="1">
        <f>IF(G14="Mall",1,0)</f>
        <v>0</v>
      </c>
      <c r="K14" s="1">
        <v>30356.28</v>
      </c>
      <c r="L14" s="1">
        <v>2822</v>
      </c>
      <c r="M14" s="1">
        <v>0.23100000000000001</v>
      </c>
      <c r="N14" s="1">
        <v>9</v>
      </c>
      <c r="O14" s="1">
        <v>84.8</v>
      </c>
      <c r="P14" s="1">
        <v>6.95</v>
      </c>
      <c r="Q14" s="1">
        <v>0</v>
      </c>
      <c r="R14" s="1">
        <v>5</v>
      </c>
      <c r="S14" s="1">
        <v>415721.82</v>
      </c>
      <c r="T14" s="1">
        <v>61179.15</v>
      </c>
      <c r="U14">
        <f>146249.7963 + (33.6835738*L14) + (1.176703422*K14) + (3062.934007*O14) + (-39654.57312*H14) + (-22957.90276*I14) + (-11306.62502*J14)</f>
        <v>497107.41079239006</v>
      </c>
      <c r="V14">
        <f>S14-U14</f>
        <v>-81385.590792390052</v>
      </c>
      <c r="W14" s="30">
        <f>V14/S14*100</f>
        <v>-19.57693507461072</v>
      </c>
    </row>
    <row r="15" spans="1:23">
      <c r="A15" s="1" t="s">
        <v>81</v>
      </c>
      <c r="B15" s="3">
        <v>45658</v>
      </c>
      <c r="C15" s="1" t="s">
        <v>27</v>
      </c>
      <c r="D15" s="1">
        <f>IF(C15="East",1,0)</f>
        <v>0</v>
      </c>
      <c r="E15" s="1">
        <f>IF(C15="West",1,0)</f>
        <v>1</v>
      </c>
      <c r="F15" s="1">
        <f>IF(C15="North",1,0)</f>
        <v>0</v>
      </c>
      <c r="G15" s="1" t="s">
        <v>28</v>
      </c>
      <c r="H15" s="1">
        <f>IF(G15="Residential",1,0)</f>
        <v>0</v>
      </c>
      <c r="I15" s="1">
        <f>IF(G15="High Street",1,0)</f>
        <v>0</v>
      </c>
      <c r="J15" s="1">
        <f>IF(G15="Mall",1,0)</f>
        <v>1</v>
      </c>
      <c r="K15" s="1">
        <v>46495.4</v>
      </c>
      <c r="L15" s="1">
        <v>9908</v>
      </c>
      <c r="M15" s="1">
        <v>0.121</v>
      </c>
      <c r="N15" s="1">
        <v>22</v>
      </c>
      <c r="O15" s="1">
        <v>89.4</v>
      </c>
      <c r="P15" s="1">
        <v>3.22</v>
      </c>
      <c r="Q15" s="1">
        <v>0</v>
      </c>
      <c r="R15" s="1">
        <v>3.7</v>
      </c>
      <c r="S15" s="1">
        <v>721079.35</v>
      </c>
      <c r="T15" s="1">
        <v>115295.05</v>
      </c>
      <c r="U15">
        <f>146249.7963 + (33.6835738*L15) + (1.176703422*K15) + (3062.934007*O15) + (-39654.57312*H15) + (-22957.90276*I15) + (-11306.62502*J15)</f>
        <v>797217.61700345878</v>
      </c>
      <c r="V15">
        <f>S15-U15</f>
        <v>-76138.267003458808</v>
      </c>
      <c r="W15" s="30">
        <f>V15/S15*100</f>
        <v>-10.558930442739598</v>
      </c>
    </row>
    <row r="16" spans="1:23">
      <c r="A16" s="1" t="s">
        <v>73</v>
      </c>
      <c r="B16" s="3">
        <v>45717</v>
      </c>
      <c r="C16" s="1" t="s">
        <v>15</v>
      </c>
      <c r="D16" s="1">
        <f>IF(C16="East",1,0)</f>
        <v>1</v>
      </c>
      <c r="E16" s="1">
        <f>IF(C16="West",1,0)</f>
        <v>0</v>
      </c>
      <c r="F16" s="1">
        <f>IF(C16="North",1,0)</f>
        <v>0</v>
      </c>
      <c r="G16" s="1" t="s">
        <v>28</v>
      </c>
      <c r="H16" s="1">
        <f>IF(G16="Residential",1,0)</f>
        <v>0</v>
      </c>
      <c r="I16" s="1">
        <f>IF(G16="High Street",1,0)</f>
        <v>0</v>
      </c>
      <c r="J16" s="1">
        <f>IF(G16="Mall",1,0)</f>
        <v>1</v>
      </c>
      <c r="K16" s="1">
        <v>37983.35</v>
      </c>
      <c r="L16" s="1">
        <v>9283</v>
      </c>
      <c r="M16" s="1">
        <v>0.14899999999999999</v>
      </c>
      <c r="N16" s="1">
        <v>19</v>
      </c>
      <c r="O16" s="1">
        <v>83.2</v>
      </c>
      <c r="P16" s="1">
        <v>3.82</v>
      </c>
      <c r="Q16" s="1">
        <v>0</v>
      </c>
      <c r="R16" s="1">
        <v>3.7</v>
      </c>
      <c r="S16" s="1">
        <v>671868.59</v>
      </c>
      <c r="T16" s="1">
        <v>71003.28</v>
      </c>
      <c r="U16">
        <f>146249.7963 + (33.6835738*L16) + (1.176703422*K16) + (3062.934007*O16) + (-39654.57312*H16) + (-22957.90276*I16) + (-11306.62502*J16)</f>
        <v>747159.03417182353</v>
      </c>
      <c r="V16">
        <f>S16-U16</f>
        <v>-75290.444171823561</v>
      </c>
      <c r="W16" s="30">
        <f>V16/S16*100</f>
        <v>-11.206126509325815</v>
      </c>
    </row>
    <row r="17" spans="1:23">
      <c r="A17" s="1" t="s">
        <v>14</v>
      </c>
      <c r="B17" s="3">
        <v>45717</v>
      </c>
      <c r="C17" s="1" t="s">
        <v>15</v>
      </c>
      <c r="D17" s="1">
        <f>IF(C17="East",1,0)</f>
        <v>1</v>
      </c>
      <c r="E17" s="1">
        <f>IF(C17="West",1,0)</f>
        <v>0</v>
      </c>
      <c r="F17" s="1">
        <f>IF(C17="North",1,0)</f>
        <v>0</v>
      </c>
      <c r="G17" s="1" t="s">
        <v>16</v>
      </c>
      <c r="H17" s="1">
        <f>IF(G17="Residential",1,0)</f>
        <v>1</v>
      </c>
      <c r="I17" s="1">
        <f>IF(G17="High Street",1,0)</f>
        <v>0</v>
      </c>
      <c r="J17" s="1">
        <f>IF(G17="Mall",1,0)</f>
        <v>0</v>
      </c>
      <c r="K17" s="1">
        <v>59921.75</v>
      </c>
      <c r="L17" s="1">
        <v>9113</v>
      </c>
      <c r="M17" s="1">
        <v>0.13300000000000001</v>
      </c>
      <c r="N17" s="1">
        <v>20</v>
      </c>
      <c r="O17" s="1">
        <v>88</v>
      </c>
      <c r="P17" s="1">
        <v>12</v>
      </c>
      <c r="Q17" s="1">
        <v>0</v>
      </c>
      <c r="R17" s="1">
        <v>3.2</v>
      </c>
      <c r="S17" s="1">
        <v>678722.06</v>
      </c>
      <c r="T17" s="1">
        <v>101883.86</v>
      </c>
      <c r="U17">
        <f>146249.7963 + (33.6835738*L17) + (1.176703422*K17) + (3062.934007*O17) + (-39654.57312*H17) + (-22957.90276*I17) + (-11306.62502*J17)</f>
        <v>753601.9521126285</v>
      </c>
      <c r="V17">
        <f>S17-U17</f>
        <v>-74879.89211262844</v>
      </c>
      <c r="W17" s="30">
        <f>V17/S17*100</f>
        <v>-11.032482443937131</v>
      </c>
    </row>
    <row r="18" spans="1:23">
      <c r="A18" s="1" t="s">
        <v>36</v>
      </c>
      <c r="B18" s="3">
        <v>45748</v>
      </c>
      <c r="C18" s="1" t="s">
        <v>15</v>
      </c>
      <c r="D18" s="1">
        <f>IF(C18="East",1,0)</f>
        <v>1</v>
      </c>
      <c r="E18" s="1">
        <f>IF(C18="West",1,0)</f>
        <v>0</v>
      </c>
      <c r="F18" s="1">
        <f>IF(C18="North",1,0)</f>
        <v>0</v>
      </c>
      <c r="G18" s="1" t="s">
        <v>21</v>
      </c>
      <c r="H18" s="1">
        <f>IF(G18="Residential",1,0)</f>
        <v>0</v>
      </c>
      <c r="I18" s="1">
        <f>IF(G18="High Street",1,0)</f>
        <v>0</v>
      </c>
      <c r="J18" s="1">
        <f>IF(G18="Mall",1,0)</f>
        <v>0</v>
      </c>
      <c r="K18" s="1">
        <v>52952.12</v>
      </c>
      <c r="L18" s="1">
        <v>4377</v>
      </c>
      <c r="M18" s="1">
        <v>9.1999999999999998E-2</v>
      </c>
      <c r="N18" s="1">
        <v>14</v>
      </c>
      <c r="O18" s="1">
        <v>88.6</v>
      </c>
      <c r="P18" s="1">
        <v>13.59</v>
      </c>
      <c r="Q18" s="1">
        <v>0</v>
      </c>
      <c r="R18" s="1">
        <v>3.1</v>
      </c>
      <c r="S18" s="1">
        <v>553756.43000000005</v>
      </c>
      <c r="T18" s="1">
        <v>86166.77</v>
      </c>
      <c r="U18">
        <f>146249.7963 + (33.6835738*L18) + (1.176703422*K18) + (3062.934007*O18) + (-39654.57312*H18) + (-22957.90276*I18) + (-11306.62502*J18)</f>
        <v>627367.69264895457</v>
      </c>
      <c r="V18">
        <f>S18-U18</f>
        <v>-73611.262648954522</v>
      </c>
      <c r="W18" s="30">
        <f>V18/S18*100</f>
        <v>-13.293075919489461</v>
      </c>
    </row>
    <row r="19" spans="1:23">
      <c r="A19" s="1" t="s">
        <v>70</v>
      </c>
      <c r="B19" s="3">
        <v>45748</v>
      </c>
      <c r="C19" s="1" t="s">
        <v>27</v>
      </c>
      <c r="D19" s="1">
        <f>IF(C19="East",1,0)</f>
        <v>0</v>
      </c>
      <c r="E19" s="1">
        <f>IF(C19="West",1,0)</f>
        <v>1</v>
      </c>
      <c r="F19" s="1">
        <f>IF(C19="North",1,0)</f>
        <v>0</v>
      </c>
      <c r="G19" s="1" t="s">
        <v>16</v>
      </c>
      <c r="H19" s="1">
        <f>IF(G19="Residential",1,0)</f>
        <v>1</v>
      </c>
      <c r="I19" s="1">
        <f>IF(G19="High Street",1,0)</f>
        <v>0</v>
      </c>
      <c r="J19" s="1">
        <f>IF(G19="Mall",1,0)</f>
        <v>0</v>
      </c>
      <c r="K19" s="1">
        <v>41657.64</v>
      </c>
      <c r="L19" s="1">
        <v>3135</v>
      </c>
      <c r="M19" s="1">
        <v>0.22900000000000001</v>
      </c>
      <c r="N19" s="1">
        <v>7</v>
      </c>
      <c r="O19" s="1">
        <v>85.4</v>
      </c>
      <c r="P19" s="1">
        <v>13.48</v>
      </c>
      <c r="Q19" s="1">
        <v>0</v>
      </c>
      <c r="R19" s="1">
        <v>3.92</v>
      </c>
      <c r="S19" s="1">
        <v>449465.06</v>
      </c>
      <c r="T19" s="1">
        <v>65694.78</v>
      </c>
      <c r="U19">
        <f>146249.7963 + (33.6835738*L19) + (1.176703422*K19) + (3062.934007*O19) + (-39654.57312*H19) + (-22957.90276*I19) + (-11306.62502*J19)</f>
        <v>522786.47878124408</v>
      </c>
      <c r="V19">
        <f>S19-U19</f>
        <v>-73321.41878124408</v>
      </c>
      <c r="W19" s="30">
        <f>V19/S19*100</f>
        <v>-16.313040835976011</v>
      </c>
    </row>
    <row r="20" spans="1:23">
      <c r="A20" s="1" t="s">
        <v>96</v>
      </c>
      <c r="B20" s="3">
        <v>45748</v>
      </c>
      <c r="C20" s="1" t="s">
        <v>27</v>
      </c>
      <c r="D20" s="1">
        <f>IF(C20="East",1,0)</f>
        <v>0</v>
      </c>
      <c r="E20" s="1">
        <f>IF(C20="West",1,0)</f>
        <v>1</v>
      </c>
      <c r="F20" s="1">
        <f>IF(C20="North",1,0)</f>
        <v>0</v>
      </c>
      <c r="G20" s="1" t="s">
        <v>18</v>
      </c>
      <c r="H20" s="1">
        <f>IF(G20="Residential",1,0)</f>
        <v>0</v>
      </c>
      <c r="I20" s="1">
        <f>IF(G20="High Street",1,0)</f>
        <v>1</v>
      </c>
      <c r="J20" s="1">
        <f>IF(G20="Mall",1,0)</f>
        <v>0</v>
      </c>
      <c r="K20" s="1">
        <v>24362.98</v>
      </c>
      <c r="L20" s="1">
        <v>1462</v>
      </c>
      <c r="M20" s="1">
        <v>0.11700000000000001</v>
      </c>
      <c r="N20" s="1">
        <v>6</v>
      </c>
      <c r="O20" s="1">
        <v>89.3</v>
      </c>
      <c r="P20" s="1">
        <v>15.06</v>
      </c>
      <c r="Q20" s="1">
        <v>0</v>
      </c>
      <c r="R20" s="1">
        <v>3.2</v>
      </c>
      <c r="S20" s="1">
        <v>401582.58</v>
      </c>
      <c r="T20" s="1">
        <v>68454.929999999993</v>
      </c>
      <c r="U20">
        <f>146249.7963 + (33.6835738*L20) + (1.176703422*K20) + (3062.934007*O20) + (-39654.57312*H20) + (-22957.90276*I20) + (-11306.62502*J20)</f>
        <v>474725.28719681752</v>
      </c>
      <c r="V20">
        <f>S20-U20</f>
        <v>-73142.707196817501</v>
      </c>
      <c r="W20" s="30">
        <f>V20/S20*100</f>
        <v>-18.213615540001136</v>
      </c>
    </row>
    <row r="21" spans="1:23">
      <c r="A21" s="1" t="s">
        <v>36</v>
      </c>
      <c r="B21" s="3">
        <v>45717</v>
      </c>
      <c r="C21" s="1" t="s">
        <v>15</v>
      </c>
      <c r="D21" s="1">
        <f>IF(C21="East",1,0)</f>
        <v>1</v>
      </c>
      <c r="E21" s="1">
        <f>IF(C21="West",1,0)</f>
        <v>0</v>
      </c>
      <c r="F21" s="1">
        <f>IF(C21="North",1,0)</f>
        <v>0</v>
      </c>
      <c r="G21" s="1" t="s">
        <v>21</v>
      </c>
      <c r="H21" s="1">
        <f>IF(G21="Residential",1,0)</f>
        <v>0</v>
      </c>
      <c r="I21" s="1">
        <f>IF(G21="High Street",1,0)</f>
        <v>0</v>
      </c>
      <c r="J21" s="1">
        <f>IF(G21="Mall",1,0)</f>
        <v>0</v>
      </c>
      <c r="K21" s="1">
        <v>118910.48</v>
      </c>
      <c r="L21" s="1">
        <v>4022</v>
      </c>
      <c r="M21" s="1">
        <v>0.13700000000000001</v>
      </c>
      <c r="N21" s="1">
        <v>11</v>
      </c>
      <c r="O21" s="1">
        <v>87.1</v>
      </c>
      <c r="P21" s="1">
        <v>0.2</v>
      </c>
      <c r="Q21" s="1">
        <v>0</v>
      </c>
      <c r="R21" s="1">
        <v>3.1</v>
      </c>
      <c r="S21" s="1">
        <v>617291.15</v>
      </c>
      <c r="T21" s="1">
        <v>117782</v>
      </c>
      <c r="U21">
        <f>146249.7963 + (33.6835738*L21) + (1.176703422*K21) + (3062.934007*O21) + (-39654.57312*H21) + (-22957.90276*I21) + (-11306.62502*J21)</f>
        <v>688429.0508609626</v>
      </c>
      <c r="V21">
        <f>S21-U21</f>
        <v>-71137.900860962574</v>
      </c>
      <c r="W21" s="30">
        <f>V21/S21*100</f>
        <v>-11.524205532666809</v>
      </c>
    </row>
    <row r="22" spans="1:23">
      <c r="A22" s="1" t="s">
        <v>29</v>
      </c>
      <c r="B22" s="3">
        <v>45658</v>
      </c>
      <c r="C22" s="1" t="s">
        <v>15</v>
      </c>
      <c r="D22" s="1">
        <f>IF(C22="East",1,0)</f>
        <v>1</v>
      </c>
      <c r="E22" s="1">
        <f>IF(C22="West",1,0)</f>
        <v>0</v>
      </c>
      <c r="F22" s="1">
        <f>IF(C22="North",1,0)</f>
        <v>0</v>
      </c>
      <c r="G22" s="1" t="s">
        <v>16</v>
      </c>
      <c r="H22" s="1">
        <f>IF(G22="Residential",1,0)</f>
        <v>1</v>
      </c>
      <c r="I22" s="1">
        <f>IF(G22="High Street",1,0)</f>
        <v>0</v>
      </c>
      <c r="J22" s="1">
        <f>IF(G22="Mall",1,0)</f>
        <v>0</v>
      </c>
      <c r="K22" s="1">
        <v>68600.62</v>
      </c>
      <c r="L22" s="1">
        <v>3988</v>
      </c>
      <c r="M22" s="1">
        <v>0.124</v>
      </c>
      <c r="N22" s="1">
        <v>11</v>
      </c>
      <c r="O22" s="1">
        <v>85</v>
      </c>
      <c r="P22" s="1">
        <v>0.48</v>
      </c>
      <c r="Q22" s="1">
        <v>0</v>
      </c>
      <c r="R22" s="1">
        <v>3.6</v>
      </c>
      <c r="S22" s="1">
        <v>511844.41</v>
      </c>
      <c r="T22" s="1">
        <v>72774.44</v>
      </c>
      <c r="U22">
        <f>146249.7963 + (33.6835738*L22) + (1.176703422*K22) + (3062.934007*O22) + (-39654.57312*H22) + (-22957.90276*I22) + (-11306.62502*J22)</f>
        <v>581997.29039472155</v>
      </c>
      <c r="V22">
        <f>S22-U22</f>
        <v>-70152.880394721578</v>
      </c>
      <c r="W22" s="30">
        <f>V22/S22*100</f>
        <v>-13.70589949291848</v>
      </c>
    </row>
    <row r="23" spans="1:23">
      <c r="A23" s="1" t="s">
        <v>54</v>
      </c>
      <c r="B23" s="3">
        <v>45717</v>
      </c>
      <c r="C23" s="1" t="s">
        <v>15</v>
      </c>
      <c r="D23" s="1">
        <f>IF(C23="East",1,0)</f>
        <v>1</v>
      </c>
      <c r="E23" s="1">
        <f>IF(C23="West",1,0)</f>
        <v>0</v>
      </c>
      <c r="F23" s="1">
        <f>IF(C23="North",1,0)</f>
        <v>0</v>
      </c>
      <c r="G23" s="1" t="s">
        <v>18</v>
      </c>
      <c r="H23" s="1">
        <f>IF(G23="Residential",1,0)</f>
        <v>0</v>
      </c>
      <c r="I23" s="1">
        <f>IF(G23="High Street",1,0)</f>
        <v>1</v>
      </c>
      <c r="J23" s="1">
        <f>IF(G23="Mall",1,0)</f>
        <v>0</v>
      </c>
      <c r="K23" s="1">
        <v>50735.63</v>
      </c>
      <c r="L23" s="1">
        <v>9619</v>
      </c>
      <c r="M23" s="1">
        <v>0.14399999999999999</v>
      </c>
      <c r="N23" s="1">
        <v>19</v>
      </c>
      <c r="O23" s="1">
        <v>93.8</v>
      </c>
      <c r="P23" s="1">
        <v>5.12</v>
      </c>
      <c r="Q23" s="1">
        <v>1</v>
      </c>
      <c r="R23" s="1">
        <v>4.5</v>
      </c>
      <c r="S23" s="1">
        <v>725235.28</v>
      </c>
      <c r="T23" s="1">
        <v>121632.24</v>
      </c>
      <c r="U23">
        <f>146249.7963 + (33.6835738*L23) + (1.176703422*K23) + (3062.934007*O23) + (-39654.57312*H23) + (-22957.90276*I23) + (-11306.62502*J23)</f>
        <v>794298.18921712576</v>
      </c>
      <c r="V23">
        <f>S23-U23</f>
        <v>-69062.909217125736</v>
      </c>
      <c r="W23" s="30">
        <f>V23/S23*100</f>
        <v>-9.5228281251190268</v>
      </c>
    </row>
    <row r="24" spans="1:23">
      <c r="A24" s="1" t="s">
        <v>29</v>
      </c>
      <c r="B24" s="3">
        <v>45748</v>
      </c>
      <c r="C24" s="1" t="s">
        <v>15</v>
      </c>
      <c r="D24" s="1">
        <f>IF(C24="East",1,0)</f>
        <v>1</v>
      </c>
      <c r="E24" s="1">
        <f>IF(C24="West",1,0)</f>
        <v>0</v>
      </c>
      <c r="F24" s="1">
        <f>IF(C24="North",1,0)</f>
        <v>0</v>
      </c>
      <c r="G24" s="1" t="s">
        <v>16</v>
      </c>
      <c r="H24" s="1">
        <f>IF(G24="Residential",1,0)</f>
        <v>1</v>
      </c>
      <c r="I24" s="1">
        <f>IF(G24="High Street",1,0)</f>
        <v>0</v>
      </c>
      <c r="J24" s="1">
        <f>IF(G24="Mall",1,0)</f>
        <v>0</v>
      </c>
      <c r="K24" s="1">
        <v>69816.350000000006</v>
      </c>
      <c r="L24" s="1">
        <v>971</v>
      </c>
      <c r="M24" s="1">
        <v>0.16800000000000001</v>
      </c>
      <c r="N24" s="1">
        <v>5</v>
      </c>
      <c r="O24" s="1">
        <v>89.9</v>
      </c>
      <c r="P24" s="1">
        <v>12.15</v>
      </c>
      <c r="Q24" s="1">
        <v>0</v>
      </c>
      <c r="R24" s="1">
        <v>3.6</v>
      </c>
      <c r="S24" s="1">
        <v>427917.38</v>
      </c>
      <c r="T24" s="1">
        <v>81824.31</v>
      </c>
      <c r="U24">
        <f>146249.7963 + (33.6835738*L24) + (1.176703422*K24) + (3062.934007*O24) + (-39654.57312*H24) + (-22957.90276*I24) + (-11306.62502*J24)</f>
        <v>496812.87852564972</v>
      </c>
      <c r="V24">
        <f>S24-U24</f>
        <v>-68895.498525649717</v>
      </c>
      <c r="W24" s="30">
        <f>V24/S24*100</f>
        <v>-16.100187032751442</v>
      </c>
    </row>
    <row r="25" spans="1:23">
      <c r="A25" s="1" t="s">
        <v>52</v>
      </c>
      <c r="B25" s="3">
        <v>45748</v>
      </c>
      <c r="C25" s="1" t="s">
        <v>20</v>
      </c>
      <c r="D25" s="1">
        <f>IF(C25="East",1,0)</f>
        <v>0</v>
      </c>
      <c r="E25" s="1">
        <f>IF(C25="West",1,0)</f>
        <v>0</v>
      </c>
      <c r="F25" s="1">
        <f>IF(C25="North",1,0)</f>
        <v>1</v>
      </c>
      <c r="G25" s="1" t="s">
        <v>18</v>
      </c>
      <c r="H25" s="1">
        <f>IF(G25="Residential",1,0)</f>
        <v>0</v>
      </c>
      <c r="I25" s="1">
        <f>IF(G25="High Street",1,0)</f>
        <v>1</v>
      </c>
      <c r="J25" s="1">
        <f>IF(G25="Mall",1,0)</f>
        <v>0</v>
      </c>
      <c r="K25" s="1">
        <v>19063.48</v>
      </c>
      <c r="L25" s="1">
        <v>1906</v>
      </c>
      <c r="M25" s="1">
        <v>0.216</v>
      </c>
      <c r="N25" s="1">
        <v>10</v>
      </c>
      <c r="O25" s="1">
        <v>97.8</v>
      </c>
      <c r="P25" s="1">
        <v>15.79</v>
      </c>
      <c r="Q25" s="1">
        <v>0</v>
      </c>
      <c r="R25" s="1">
        <v>4.4000000000000004</v>
      </c>
      <c r="S25" s="1">
        <v>441275.42</v>
      </c>
      <c r="T25" s="1">
        <v>58234.87</v>
      </c>
      <c r="U25">
        <f>146249.7963 + (33.6835738*L25) + (1.176703422*K25) + (3062.934007*O25) + (-39654.57312*H25) + (-22957.90276*I25) + (-11306.62502*J25)</f>
        <v>509479.79323862848</v>
      </c>
      <c r="V25">
        <f>S25-U25</f>
        <v>-68204.373238628497</v>
      </c>
      <c r="W25" s="30">
        <f>V25/S25*100</f>
        <v>-15.45619133706303</v>
      </c>
    </row>
    <row r="26" spans="1:23">
      <c r="A26" s="1" t="s">
        <v>14</v>
      </c>
      <c r="B26" s="3">
        <v>45689</v>
      </c>
      <c r="C26" s="1" t="s">
        <v>15</v>
      </c>
      <c r="D26" s="1">
        <f>IF(C26="East",1,0)</f>
        <v>1</v>
      </c>
      <c r="E26" s="1">
        <f>IF(C26="West",1,0)</f>
        <v>0</v>
      </c>
      <c r="F26" s="1">
        <f>IF(C26="North",1,0)</f>
        <v>0</v>
      </c>
      <c r="G26" s="1" t="s">
        <v>16</v>
      </c>
      <c r="H26" s="1">
        <f>IF(G26="Residential",1,0)</f>
        <v>1</v>
      </c>
      <c r="I26" s="1">
        <f>IF(G26="High Street",1,0)</f>
        <v>0</v>
      </c>
      <c r="J26" s="1">
        <f>IF(G26="Mall",1,0)</f>
        <v>0</v>
      </c>
      <c r="K26" s="1">
        <v>43827.89</v>
      </c>
      <c r="L26" s="1">
        <v>8487</v>
      </c>
      <c r="M26" s="1">
        <v>0.16800000000000001</v>
      </c>
      <c r="N26" s="1">
        <v>23</v>
      </c>
      <c r="O26" s="1">
        <v>84.4</v>
      </c>
      <c r="P26" s="1">
        <v>4.3099999999999996</v>
      </c>
      <c r="Q26" s="1">
        <v>0</v>
      </c>
      <c r="R26" s="1">
        <v>2.8</v>
      </c>
      <c r="S26" s="1">
        <v>634436</v>
      </c>
      <c r="T26" s="1">
        <v>106130.54</v>
      </c>
      <c r="U26">
        <f>146249.7963 + (33.6835738*L26) + (1.176703422*K26) + (3062.934007*O26) + (-39654.57312*H26) + (-22957.90276*I26) + (-11306.62502*J26)</f>
        <v>702551.77235343959</v>
      </c>
      <c r="V26">
        <f>S26-U26</f>
        <v>-68115.772353439592</v>
      </c>
      <c r="W26" s="30">
        <f>V26/S26*100</f>
        <v>-10.736429262122513</v>
      </c>
    </row>
    <row r="27" spans="1:23">
      <c r="A27" s="1" t="s">
        <v>64</v>
      </c>
      <c r="B27" s="3">
        <v>45689</v>
      </c>
      <c r="C27" s="1" t="s">
        <v>15</v>
      </c>
      <c r="D27" s="1">
        <f>IF(C27="East",1,0)</f>
        <v>1</v>
      </c>
      <c r="E27" s="1">
        <f>IF(C27="West",1,0)</f>
        <v>0</v>
      </c>
      <c r="F27" s="1">
        <f>IF(C27="North",1,0)</f>
        <v>0</v>
      </c>
      <c r="G27" s="1" t="s">
        <v>16</v>
      </c>
      <c r="H27" s="1">
        <f>IF(G27="Residential",1,0)</f>
        <v>1</v>
      </c>
      <c r="I27" s="1">
        <f>IF(G27="High Street",1,0)</f>
        <v>0</v>
      </c>
      <c r="J27" s="1">
        <f>IF(G27="Mall",1,0)</f>
        <v>0</v>
      </c>
      <c r="K27" s="1">
        <v>32834.480000000003</v>
      </c>
      <c r="L27" s="1">
        <v>7576</v>
      </c>
      <c r="M27" s="1">
        <v>9.9000000000000005E-2</v>
      </c>
      <c r="N27" s="1">
        <v>15</v>
      </c>
      <c r="O27" s="1">
        <v>84.1</v>
      </c>
      <c r="P27" s="1">
        <v>3.48</v>
      </c>
      <c r="Q27" s="1">
        <v>0</v>
      </c>
      <c r="R27" s="1">
        <v>5</v>
      </c>
      <c r="S27" s="1">
        <v>593637.14</v>
      </c>
      <c r="T27" s="1">
        <v>106648.14</v>
      </c>
      <c r="U27">
        <f>146249.7963 + (33.6835738*L27) + (1.176703422*K27) + (3062.934007*O27) + (-39654.57312*H27) + (-22957.90276*I27) + (-11306.62502*J27)</f>
        <v>658011.17325309047</v>
      </c>
      <c r="V27">
        <f>S27-U27</f>
        <v>-64374.033253090456</v>
      </c>
      <c r="W27" s="30">
        <f>V27/S27*100</f>
        <v>-10.844003670843515</v>
      </c>
    </row>
    <row r="28" spans="1:23">
      <c r="A28" s="1" t="s">
        <v>91</v>
      </c>
      <c r="B28" s="3">
        <v>45658</v>
      </c>
      <c r="C28" s="1" t="s">
        <v>24</v>
      </c>
      <c r="D28" s="1">
        <f>IF(C28="East",1,0)</f>
        <v>0</v>
      </c>
      <c r="E28" s="1">
        <f>IF(C28="West",1,0)</f>
        <v>0</v>
      </c>
      <c r="F28" s="1">
        <f>IF(C28="North",1,0)</f>
        <v>0</v>
      </c>
      <c r="G28" s="1" t="s">
        <v>16</v>
      </c>
      <c r="H28" s="1">
        <f>IF(G28="Residential",1,0)</f>
        <v>1</v>
      </c>
      <c r="I28" s="1">
        <f>IF(G28="High Street",1,0)</f>
        <v>0</v>
      </c>
      <c r="J28" s="1">
        <f>IF(G28="Mall",1,0)</f>
        <v>0</v>
      </c>
      <c r="K28" s="1">
        <v>61784.11</v>
      </c>
      <c r="L28" s="1">
        <v>8564</v>
      </c>
      <c r="M28" s="1">
        <v>0.13</v>
      </c>
      <c r="N28" s="1">
        <v>17</v>
      </c>
      <c r="O28" s="1">
        <v>87.4</v>
      </c>
      <c r="P28" s="1">
        <v>18.14</v>
      </c>
      <c r="Q28" s="1">
        <v>1</v>
      </c>
      <c r="R28" s="1">
        <v>3.4</v>
      </c>
      <c r="S28" s="1">
        <v>673076.34</v>
      </c>
      <c r="T28" s="1">
        <v>93899.76</v>
      </c>
      <c r="U28">
        <f>146249.7963 + (33.6835738*L28) + (1.176703422*K28) + (3062.934007*O28) + (-39654.57312*H28) + (-22957.90276*I28) + (-11306.62502*J28)</f>
        <v>735463.35507722443</v>
      </c>
      <c r="V28">
        <f>S28-U28</f>
        <v>-62387.015077224467</v>
      </c>
      <c r="W28" s="30">
        <f>V28/S28*100</f>
        <v>-9.2689359838773218</v>
      </c>
    </row>
    <row r="29" spans="1:23">
      <c r="A29" s="1" t="s">
        <v>56</v>
      </c>
      <c r="B29" s="3">
        <v>45658</v>
      </c>
      <c r="C29" s="1" t="s">
        <v>24</v>
      </c>
      <c r="D29" s="1">
        <f>IF(C29="East",1,0)</f>
        <v>0</v>
      </c>
      <c r="E29" s="1">
        <f>IF(C29="West",1,0)</f>
        <v>0</v>
      </c>
      <c r="F29" s="1">
        <f>IF(C29="North",1,0)</f>
        <v>0</v>
      </c>
      <c r="G29" s="1" t="s">
        <v>16</v>
      </c>
      <c r="H29" s="1">
        <f>IF(G29="Residential",1,0)</f>
        <v>1</v>
      </c>
      <c r="I29" s="1">
        <f>IF(G29="High Street",1,0)</f>
        <v>0</v>
      </c>
      <c r="J29" s="1">
        <f>IF(G29="Mall",1,0)</f>
        <v>0</v>
      </c>
      <c r="K29" s="1">
        <v>71320.66</v>
      </c>
      <c r="L29" s="1">
        <v>7888</v>
      </c>
      <c r="M29" s="1">
        <v>4.8000000000000001E-2</v>
      </c>
      <c r="N29" s="1">
        <v>20</v>
      </c>
      <c r="O29" s="1">
        <v>78.099999999999994</v>
      </c>
      <c r="P29" s="1">
        <v>3.4</v>
      </c>
      <c r="Q29" s="1">
        <v>0</v>
      </c>
      <c r="R29" s="1">
        <v>3.92</v>
      </c>
      <c r="S29" s="1">
        <v>633638.03</v>
      </c>
      <c r="T29" s="1">
        <v>99402.01</v>
      </c>
      <c r="U29">
        <f>146249.7963 + (33.6835738*L29) + (1.176703422*K29) + (3062.934007*O29) + (-39654.57312*H29) + (-22957.90276*I29) + (-11306.62502*J29)</f>
        <v>695429.6639423985</v>
      </c>
      <c r="V29">
        <f>S29-U29</f>
        <v>-61791.633942398475</v>
      </c>
      <c r="W29" s="30">
        <f>V29/S29*100</f>
        <v>-9.7518821498764012</v>
      </c>
    </row>
    <row r="30" spans="1:23">
      <c r="A30" s="1" t="s">
        <v>72</v>
      </c>
      <c r="B30" s="3">
        <v>45717</v>
      </c>
      <c r="C30" s="1" t="s">
        <v>15</v>
      </c>
      <c r="D30" s="1">
        <f>IF(C30="East",1,0)</f>
        <v>1</v>
      </c>
      <c r="E30" s="1">
        <f>IF(C30="West",1,0)</f>
        <v>0</v>
      </c>
      <c r="F30" s="1">
        <f>IF(C30="North",1,0)</f>
        <v>0</v>
      </c>
      <c r="G30" s="1" t="s">
        <v>21</v>
      </c>
      <c r="H30" s="1">
        <f>IF(G30="Residential",1,0)</f>
        <v>0</v>
      </c>
      <c r="I30" s="1">
        <f>IF(G30="High Street",1,0)</f>
        <v>0</v>
      </c>
      <c r="J30" s="1">
        <f>IF(G30="Mall",1,0)</f>
        <v>0</v>
      </c>
      <c r="K30" s="1">
        <v>35203.230000000003</v>
      </c>
      <c r="L30" s="1">
        <v>6896</v>
      </c>
      <c r="M30" s="1">
        <v>3.2000000000000001E-2</v>
      </c>
      <c r="N30" s="1">
        <v>14</v>
      </c>
      <c r="O30" s="1">
        <v>80.8</v>
      </c>
      <c r="P30" s="1">
        <v>8.44</v>
      </c>
      <c r="Q30" s="1">
        <v>1</v>
      </c>
      <c r="R30" s="1">
        <v>5</v>
      </c>
      <c r="S30" s="1">
        <v>607084.92000000004</v>
      </c>
      <c r="T30" s="1">
        <v>98558.49</v>
      </c>
      <c r="U30">
        <f>146249.7963 + (33.6835738*L30) + (1.176703422*K30) + (3062.934007*O30) + (-39654.57312*H30) + (-22957.90276*I30) + (-11306.62502*J30)</f>
        <v>667440.550196853</v>
      </c>
      <c r="V30">
        <f>S30-U30</f>
        <v>-60355.630196852959</v>
      </c>
      <c r="W30" s="30">
        <f>V30/S30*100</f>
        <v>-9.9418760388337351</v>
      </c>
    </row>
    <row r="31" spans="1:23">
      <c r="A31" s="1" t="s">
        <v>79</v>
      </c>
      <c r="B31" s="3">
        <v>45658</v>
      </c>
      <c r="C31" s="1" t="s">
        <v>15</v>
      </c>
      <c r="D31" s="1">
        <f>IF(C31="East",1,0)</f>
        <v>1</v>
      </c>
      <c r="E31" s="1">
        <f>IF(C31="West",1,0)</f>
        <v>0</v>
      </c>
      <c r="F31" s="1">
        <f>IF(C31="North",1,0)</f>
        <v>0</v>
      </c>
      <c r="G31" s="1" t="s">
        <v>18</v>
      </c>
      <c r="H31" s="1">
        <f>IF(G31="Residential",1,0)</f>
        <v>0</v>
      </c>
      <c r="I31" s="1">
        <f>IF(G31="High Street",1,0)</f>
        <v>1</v>
      </c>
      <c r="J31" s="1">
        <f>IF(G31="Mall",1,0)</f>
        <v>0</v>
      </c>
      <c r="K31" s="1">
        <v>37324.230000000003</v>
      </c>
      <c r="L31" s="1">
        <v>5957</v>
      </c>
      <c r="M31" s="1">
        <v>7.0999999999999994E-2</v>
      </c>
      <c r="N31" s="1">
        <v>12</v>
      </c>
      <c r="O31" s="1">
        <v>85.9</v>
      </c>
      <c r="P31" s="1">
        <v>0.37</v>
      </c>
      <c r="Q31" s="1">
        <v>0</v>
      </c>
      <c r="R31" s="1">
        <v>3.8</v>
      </c>
      <c r="S31" s="1">
        <v>570963.31000000006</v>
      </c>
      <c r="T31" s="1">
        <v>87342.25</v>
      </c>
      <c r="U31">
        <f>146249.7963 + (33.6835738*L31) + (1.176703422*K31) + (3062.934007*O31) + (-39654.57312*H31) + (-22957.90276*I31) + (-11306.62502*J31)</f>
        <v>630970.52303241496</v>
      </c>
      <c r="V31">
        <f>S31-U31</f>
        <v>-60007.213032414904</v>
      </c>
      <c r="W31" s="30">
        <f>V31/S31*100</f>
        <v>-10.509819454496103</v>
      </c>
    </row>
    <row r="32" spans="1:23">
      <c r="A32" s="1" t="s">
        <v>17</v>
      </c>
      <c r="B32" s="3">
        <v>45658</v>
      </c>
      <c r="C32" s="1" t="s">
        <v>15</v>
      </c>
      <c r="D32" s="1">
        <f>IF(C32="East",1,0)</f>
        <v>1</v>
      </c>
      <c r="E32" s="1">
        <f>IF(C32="West",1,0)</f>
        <v>0</v>
      </c>
      <c r="F32" s="1">
        <f>IF(C32="North",1,0)</f>
        <v>0</v>
      </c>
      <c r="G32" s="1" t="s">
        <v>18</v>
      </c>
      <c r="H32" s="1">
        <f>IF(G32="Residential",1,0)</f>
        <v>0</v>
      </c>
      <c r="I32" s="1">
        <f>IF(G32="High Street",1,0)</f>
        <v>1</v>
      </c>
      <c r="J32" s="1">
        <f>IF(G32="Mall",1,0)</f>
        <v>0</v>
      </c>
      <c r="K32" s="1">
        <v>48412.639999999999</v>
      </c>
      <c r="L32" s="1">
        <v>9545</v>
      </c>
      <c r="M32" s="1">
        <v>0.23100000000000001</v>
      </c>
      <c r="N32" s="1">
        <v>21</v>
      </c>
      <c r="O32" s="1">
        <v>97.6</v>
      </c>
      <c r="P32" s="1">
        <v>6.94</v>
      </c>
      <c r="Q32" s="1">
        <v>1</v>
      </c>
      <c r="R32" s="1">
        <v>4.2</v>
      </c>
      <c r="S32" s="1">
        <v>741341.44</v>
      </c>
      <c r="T32" s="1">
        <v>119208.17</v>
      </c>
      <c r="U32">
        <f>146249.7963 + (33.6835738*L32) + (1.176703422*K32) + (3062.934007*O32) + (-39654.57312*H32) + (-22957.90276*I32) + (-11306.62502*J32)</f>
        <v>800711.28370025405</v>
      </c>
      <c r="V32">
        <f>S32-U32</f>
        <v>-59369.843700254103</v>
      </c>
      <c r="W32" s="30">
        <f>V32/S32*100</f>
        <v>-8.0084345076209562</v>
      </c>
    </row>
    <row r="33" spans="1:23">
      <c r="A33" s="1" t="s">
        <v>50</v>
      </c>
      <c r="B33" s="3">
        <v>45717</v>
      </c>
      <c r="C33" s="1" t="s">
        <v>27</v>
      </c>
      <c r="D33" s="1">
        <f>IF(C33="East",1,0)</f>
        <v>0</v>
      </c>
      <c r="E33" s="1">
        <f>IF(C33="West",1,0)</f>
        <v>1</v>
      </c>
      <c r="F33" s="1">
        <f>IF(C33="North",1,0)</f>
        <v>0</v>
      </c>
      <c r="G33" s="1" t="s">
        <v>28</v>
      </c>
      <c r="H33" s="1">
        <f>IF(G33="Residential",1,0)</f>
        <v>0</v>
      </c>
      <c r="I33" s="1">
        <f>IF(G33="High Street",1,0)</f>
        <v>0</v>
      </c>
      <c r="J33" s="1">
        <f>IF(G33="Mall",1,0)</f>
        <v>1</v>
      </c>
      <c r="K33" s="1">
        <v>33605.18</v>
      </c>
      <c r="L33" s="1">
        <v>9225</v>
      </c>
      <c r="M33" s="1">
        <v>0.159</v>
      </c>
      <c r="N33" s="1">
        <v>23</v>
      </c>
      <c r="O33" s="1">
        <v>88.4</v>
      </c>
      <c r="P33" s="1">
        <v>5.91</v>
      </c>
      <c r="Q33" s="1">
        <v>0</v>
      </c>
      <c r="R33" s="1">
        <v>2.8</v>
      </c>
      <c r="S33" s="1">
        <v>697287.9</v>
      </c>
      <c r="T33" s="1">
        <v>128208.33</v>
      </c>
      <c r="U33">
        <f>146249.7963 + (33.6835738*L33) + (1.176703422*K33) + (3062.934007*O33) + (-39654.57312*H33) + (-22957.90276*I33) + (-11306.62502*J33)</f>
        <v>755980.83610672585</v>
      </c>
      <c r="V33">
        <f>S33-U33</f>
        <v>-58692.936106725829</v>
      </c>
      <c r="W33" s="30">
        <f>V33/S33*100</f>
        <v>-8.4173174533396935</v>
      </c>
    </row>
    <row r="34" spans="1:23">
      <c r="A34" s="1" t="s">
        <v>40</v>
      </c>
      <c r="B34" s="3">
        <v>45689</v>
      </c>
      <c r="C34" s="1" t="s">
        <v>15</v>
      </c>
      <c r="D34" s="1">
        <f>IF(C34="East",1,0)</f>
        <v>1</v>
      </c>
      <c r="E34" s="1">
        <f>IF(C34="West",1,0)</f>
        <v>0</v>
      </c>
      <c r="F34" s="1">
        <f>IF(C34="North",1,0)</f>
        <v>0</v>
      </c>
      <c r="G34" s="1" t="s">
        <v>16</v>
      </c>
      <c r="H34" s="1">
        <f>IF(G34="Residential",1,0)</f>
        <v>1</v>
      </c>
      <c r="I34" s="1">
        <f>IF(G34="High Street",1,0)</f>
        <v>0</v>
      </c>
      <c r="J34" s="1">
        <f>IF(G34="Mall",1,0)</f>
        <v>0</v>
      </c>
      <c r="K34" s="1">
        <v>53762.92</v>
      </c>
      <c r="L34" s="1">
        <v>6821</v>
      </c>
      <c r="M34" s="1">
        <v>6.6000000000000003E-2</v>
      </c>
      <c r="N34" s="1">
        <v>19</v>
      </c>
      <c r="O34" s="1">
        <v>94.6</v>
      </c>
      <c r="P34" s="1">
        <v>7.03</v>
      </c>
      <c r="Q34" s="1">
        <v>0</v>
      </c>
      <c r="R34" s="1">
        <v>4.4000000000000004</v>
      </c>
      <c r="S34" s="1">
        <v>630829.93999999994</v>
      </c>
      <c r="T34" s="1">
        <v>117090.02</v>
      </c>
      <c r="U34">
        <f>146249.7963 + (33.6835738*L34) + (1.176703422*K34) + (3062.934007*O34) + (-39654.57312*H34) + (-22957.90276*I34) + (-11306.62502*J34)</f>
        <v>689367.44907271222</v>
      </c>
      <c r="V34">
        <f>S34-U34</f>
        <v>-58537.509072712273</v>
      </c>
      <c r="W34" s="30">
        <f>V34/S34*100</f>
        <v>-9.2794436917043406</v>
      </c>
    </row>
    <row r="35" spans="1:23">
      <c r="A35" s="1" t="s">
        <v>55</v>
      </c>
      <c r="B35" s="3">
        <v>45689</v>
      </c>
      <c r="C35" s="1" t="s">
        <v>20</v>
      </c>
      <c r="D35" s="1">
        <f>IF(C35="East",1,0)</f>
        <v>0</v>
      </c>
      <c r="E35" s="1">
        <f>IF(C35="West",1,0)</f>
        <v>0</v>
      </c>
      <c r="F35" s="1">
        <f>IF(C35="North",1,0)</f>
        <v>1</v>
      </c>
      <c r="G35" s="1" t="s">
        <v>18</v>
      </c>
      <c r="H35" s="1">
        <f>IF(G35="Residential",1,0)</f>
        <v>0</v>
      </c>
      <c r="I35" s="1">
        <f>IF(G35="High Street",1,0)</f>
        <v>1</v>
      </c>
      <c r="J35" s="1">
        <f>IF(G35="Mall",1,0)</f>
        <v>0</v>
      </c>
      <c r="K35" s="1">
        <v>22071.64</v>
      </c>
      <c r="L35" s="1">
        <v>1814</v>
      </c>
      <c r="M35" s="1">
        <v>0.19600000000000001</v>
      </c>
      <c r="N35" s="1">
        <v>8</v>
      </c>
      <c r="O35" s="1">
        <v>81.099999999999994</v>
      </c>
      <c r="P35" s="1">
        <v>0.78</v>
      </c>
      <c r="Q35" s="1">
        <v>0</v>
      </c>
      <c r="R35" s="1">
        <v>3.92</v>
      </c>
      <c r="S35" s="1">
        <v>400831.65</v>
      </c>
      <c r="T35" s="1">
        <v>70979.31</v>
      </c>
      <c r="U35">
        <f>146249.7963 + (33.6835738*L35) + (1.176703422*K35) + (3062.934007*O35) + (-39654.57312*H35) + (-22957.90276*I35) + (-11306.62502*J35)</f>
        <v>458769.61869805196</v>
      </c>
      <c r="V35">
        <f>S35-U35</f>
        <v>-57937.968698051933</v>
      </c>
      <c r="W35" s="30">
        <f>V35/S35*100</f>
        <v>-14.454439587804988</v>
      </c>
    </row>
    <row r="36" spans="1:23">
      <c r="A36" s="1" t="s">
        <v>51</v>
      </c>
      <c r="B36" s="3">
        <v>45717</v>
      </c>
      <c r="C36" s="1" t="s">
        <v>27</v>
      </c>
      <c r="D36" s="1">
        <f>IF(C36="East",1,0)</f>
        <v>0</v>
      </c>
      <c r="E36" s="1">
        <f>IF(C36="West",1,0)</f>
        <v>1</v>
      </c>
      <c r="F36" s="1">
        <f>IF(C36="North",1,0)</f>
        <v>0</v>
      </c>
      <c r="G36" s="1" t="s">
        <v>16</v>
      </c>
      <c r="H36" s="1">
        <f>IF(G36="Residential",1,0)</f>
        <v>1</v>
      </c>
      <c r="I36" s="1">
        <f>IF(G36="High Street",1,0)</f>
        <v>0</v>
      </c>
      <c r="J36" s="1">
        <f>IF(G36="Mall",1,0)</f>
        <v>0</v>
      </c>
      <c r="K36" s="1">
        <v>42415.47</v>
      </c>
      <c r="L36" s="1">
        <v>8512</v>
      </c>
      <c r="M36" s="1">
        <v>0.13300000000000001</v>
      </c>
      <c r="N36" s="1">
        <v>18</v>
      </c>
      <c r="O36" s="1">
        <v>96.8</v>
      </c>
      <c r="P36" s="1">
        <v>14.95</v>
      </c>
      <c r="Q36" s="1">
        <v>0</v>
      </c>
      <c r="R36" s="1">
        <v>4.5999999999999996</v>
      </c>
      <c r="S36" s="1">
        <v>684217.32</v>
      </c>
      <c r="T36" s="1">
        <v>136217.19</v>
      </c>
      <c r="U36">
        <f>146249.7963 + (33.6835738*L36) + (1.176703422*K36) + (3062.934007*O36) + (-39654.57312*H36) + (-22957.90276*I36) + (-11306.62502*J36)</f>
        <v>739712.24393793836</v>
      </c>
      <c r="V36">
        <f>S36-U36</f>
        <v>-55494.923937938409</v>
      </c>
      <c r="W36" s="30">
        <f>V36/S36*100</f>
        <v>-8.1107160423735571</v>
      </c>
    </row>
    <row r="37" spans="1:23">
      <c r="A37" s="1" t="s">
        <v>69</v>
      </c>
      <c r="B37" s="3">
        <v>45748</v>
      </c>
      <c r="C37" s="1" t="s">
        <v>15</v>
      </c>
      <c r="D37" s="1">
        <f>IF(C37="East",1,0)</f>
        <v>1</v>
      </c>
      <c r="E37" s="1">
        <f>IF(C37="West",1,0)</f>
        <v>0</v>
      </c>
      <c r="F37" s="1">
        <f>IF(C37="North",1,0)</f>
        <v>0</v>
      </c>
      <c r="G37" s="1" t="s">
        <v>18</v>
      </c>
      <c r="H37" s="1">
        <f>IF(G37="Residential",1,0)</f>
        <v>0</v>
      </c>
      <c r="I37" s="1">
        <f>IF(G37="High Street",1,0)</f>
        <v>1</v>
      </c>
      <c r="J37" s="1">
        <f>IF(G37="Mall",1,0)</f>
        <v>0</v>
      </c>
      <c r="K37" s="1">
        <v>54966.18</v>
      </c>
      <c r="L37" s="1">
        <v>4423</v>
      </c>
      <c r="M37" s="1">
        <v>0.186</v>
      </c>
      <c r="N37" s="1">
        <v>13</v>
      </c>
      <c r="O37" s="1">
        <v>88.7</v>
      </c>
      <c r="P37" s="1">
        <v>0.2</v>
      </c>
      <c r="Q37" s="1">
        <v>0</v>
      </c>
      <c r="R37" s="1">
        <v>4.4000000000000004</v>
      </c>
      <c r="S37" s="1">
        <v>554012.06999999995</v>
      </c>
      <c r="T37" s="1">
        <v>81101.62</v>
      </c>
      <c r="U37">
        <f>146249.7963 + (33.6835738*L37) + (1.176703422*K37) + (3062.934007*O37) + (-39654.57312*H37) + (-22957.90276*I37) + (-11306.62502*J37)</f>
        <v>608635.47897856799</v>
      </c>
      <c r="V37">
        <f>S37-U37</f>
        <v>-54623.408978568041</v>
      </c>
      <c r="W37" s="30">
        <f>V37/S37*100</f>
        <v>-9.8596063039868511</v>
      </c>
    </row>
    <row r="38" spans="1:23">
      <c r="A38" s="1" t="s">
        <v>101</v>
      </c>
      <c r="B38" s="3">
        <v>45658</v>
      </c>
      <c r="C38" s="1" t="s">
        <v>15</v>
      </c>
      <c r="D38" s="1">
        <f>IF(C38="East",1,0)</f>
        <v>1</v>
      </c>
      <c r="E38" s="1">
        <f>IF(C38="West",1,0)</f>
        <v>0</v>
      </c>
      <c r="F38" s="1">
        <f>IF(C38="North",1,0)</f>
        <v>0</v>
      </c>
      <c r="G38" s="1" t="s">
        <v>16</v>
      </c>
      <c r="H38" s="1">
        <f>IF(G38="Residential",1,0)</f>
        <v>1</v>
      </c>
      <c r="I38" s="1">
        <f>IF(G38="High Street",1,0)</f>
        <v>0</v>
      </c>
      <c r="J38" s="1">
        <f>IF(G38="Mall",1,0)</f>
        <v>0</v>
      </c>
      <c r="K38" s="1">
        <v>76614.320000000007</v>
      </c>
      <c r="L38" s="1">
        <v>5639</v>
      </c>
      <c r="M38" s="1">
        <v>0.17399999999999999</v>
      </c>
      <c r="N38" s="1">
        <v>15</v>
      </c>
      <c r="O38" s="1">
        <v>92.9</v>
      </c>
      <c r="P38" s="1">
        <v>1.02</v>
      </c>
      <c r="Q38" s="1">
        <v>1</v>
      </c>
      <c r="R38" s="1">
        <v>4</v>
      </c>
      <c r="S38" s="1">
        <v>620264.19999999995</v>
      </c>
      <c r="T38" s="1">
        <v>91365.64</v>
      </c>
      <c r="U38">
        <f>146249.7963 + (33.6835738*L38) + (1.176703422*K38) + (3062.934007*O38) + (-39654.57312*H38) + (-22957.90276*I38) + (-11306.62502*J38)</f>
        <v>671235.79760670301</v>
      </c>
      <c r="V38">
        <f>S38-U38</f>
        <v>-50971.597606703057</v>
      </c>
      <c r="W38" s="30">
        <f>V38/S38*100</f>
        <v>-8.2177236098267574</v>
      </c>
    </row>
    <row r="39" spans="1:23">
      <c r="A39" s="1" t="s">
        <v>55</v>
      </c>
      <c r="B39" s="3">
        <v>45658</v>
      </c>
      <c r="C39" s="1" t="s">
        <v>20</v>
      </c>
      <c r="D39" s="1">
        <f>IF(C39="East",1,0)</f>
        <v>0</v>
      </c>
      <c r="E39" s="1">
        <f>IF(C39="West",1,0)</f>
        <v>0</v>
      </c>
      <c r="F39" s="1">
        <f>IF(C39="North",1,0)</f>
        <v>1</v>
      </c>
      <c r="G39" s="1" t="s">
        <v>18</v>
      </c>
      <c r="H39" s="1">
        <f>IF(G39="Residential",1,0)</f>
        <v>0</v>
      </c>
      <c r="I39" s="1">
        <f>IF(G39="High Street",1,0)</f>
        <v>1</v>
      </c>
      <c r="J39" s="1">
        <f>IF(G39="Mall",1,0)</f>
        <v>0</v>
      </c>
      <c r="K39" s="1">
        <v>70276.28</v>
      </c>
      <c r="L39" s="1">
        <v>3043</v>
      </c>
      <c r="M39" s="1">
        <v>7.9000000000000001E-2</v>
      </c>
      <c r="N39" s="1">
        <v>9</v>
      </c>
      <c r="O39" s="1">
        <v>87.9</v>
      </c>
      <c r="P39" s="1">
        <v>3.77</v>
      </c>
      <c r="Q39" s="1">
        <v>0</v>
      </c>
      <c r="R39" s="1">
        <v>4.4000000000000004</v>
      </c>
      <c r="S39" s="1">
        <v>527300.13</v>
      </c>
      <c r="T39" s="1">
        <v>84197.87</v>
      </c>
      <c r="U39">
        <f>146249.7963 + (33.6835738*L39) + (1.176703422*K39) + (3062.934007*O39) + (-39654.57312*H39) + (-22957.90276*I39) + (-11306.62502*J39)</f>
        <v>577717.24699013017</v>
      </c>
      <c r="V39">
        <f>S39-U39</f>
        <v>-50417.116990130162</v>
      </c>
      <c r="W39" s="30">
        <f>V39/S39*100</f>
        <v>-9.5613701043711412</v>
      </c>
    </row>
    <row r="40" spans="1:23">
      <c r="A40" s="1" t="s">
        <v>52</v>
      </c>
      <c r="B40" s="3">
        <v>45658</v>
      </c>
      <c r="C40" s="1" t="s">
        <v>20</v>
      </c>
      <c r="D40" s="1">
        <f>IF(C40="East",1,0)</f>
        <v>0</v>
      </c>
      <c r="E40" s="1">
        <f>IF(C40="West",1,0)</f>
        <v>0</v>
      </c>
      <c r="F40" s="1">
        <f>IF(C40="North",1,0)</f>
        <v>1</v>
      </c>
      <c r="G40" s="1" t="s">
        <v>18</v>
      </c>
      <c r="H40" s="1">
        <f>IF(G40="Residential",1,0)</f>
        <v>0</v>
      </c>
      <c r="I40" s="1">
        <f>IF(G40="High Street",1,0)</f>
        <v>1</v>
      </c>
      <c r="J40" s="1">
        <f>IF(G40="Mall",1,0)</f>
        <v>0</v>
      </c>
      <c r="K40" s="1">
        <v>43896.13</v>
      </c>
      <c r="L40" s="1">
        <v>3853</v>
      </c>
      <c r="M40" s="1">
        <v>8.7999999999999995E-2</v>
      </c>
      <c r="N40" s="1">
        <v>13</v>
      </c>
      <c r="O40" s="1">
        <v>83</v>
      </c>
      <c r="P40" s="1">
        <v>6.8</v>
      </c>
      <c r="Q40" s="1">
        <v>0</v>
      </c>
      <c r="R40" s="1">
        <v>4.4000000000000004</v>
      </c>
      <c r="S40" s="1">
        <v>509484.81</v>
      </c>
      <c r="T40" s="1">
        <v>85742.36</v>
      </c>
      <c r="U40">
        <f>146249.7963 + (33.6835738*L40) + (1.176703422*K40) + (3062.934007*O40) + (-39654.57312*H40) + (-22957.90276*I40) + (-11306.62502*J40)</f>
        <v>558950.95235595689</v>
      </c>
      <c r="V40">
        <f>S40-U40</f>
        <v>-49466.142355956894</v>
      </c>
      <c r="W40" s="30">
        <f>V40/S40*100</f>
        <v>-9.70905145453834</v>
      </c>
    </row>
    <row r="41" spans="1:23">
      <c r="A41" s="1" t="s">
        <v>62</v>
      </c>
      <c r="B41" s="3">
        <v>45658</v>
      </c>
      <c r="C41" s="1" t="s">
        <v>24</v>
      </c>
      <c r="D41" s="1">
        <f>IF(C41="East",1,0)</f>
        <v>0</v>
      </c>
      <c r="E41" s="1">
        <f>IF(C41="West",1,0)</f>
        <v>0</v>
      </c>
      <c r="F41" s="1">
        <f>IF(C41="North",1,0)</f>
        <v>0</v>
      </c>
      <c r="G41" s="1" t="s">
        <v>18</v>
      </c>
      <c r="H41" s="1">
        <f>IF(G41="Residential",1,0)</f>
        <v>0</v>
      </c>
      <c r="I41" s="1">
        <f>IF(G41="High Street",1,0)</f>
        <v>1</v>
      </c>
      <c r="J41" s="1">
        <f>IF(G41="Mall",1,0)</f>
        <v>0</v>
      </c>
      <c r="K41" s="1">
        <v>41443.410000000003</v>
      </c>
      <c r="L41" s="1">
        <v>7455</v>
      </c>
      <c r="M41" s="1">
        <v>0.17499999999999999</v>
      </c>
      <c r="N41" s="1">
        <v>16</v>
      </c>
      <c r="O41" s="1">
        <v>90.1</v>
      </c>
      <c r="P41" s="1">
        <v>4.05</v>
      </c>
      <c r="Q41" s="1">
        <v>0</v>
      </c>
      <c r="R41" s="1">
        <v>4</v>
      </c>
      <c r="S41" s="1">
        <v>650480.06000000006</v>
      </c>
      <c r="T41" s="1">
        <v>109012.07</v>
      </c>
      <c r="U41">
        <f>146249.7963 + (33.6835738*L41) + (1.176703422*K41) + (3062.934007*O41) + (-39654.57312*H41) + (-22957.90276*I41) + (-11306.62502*J41)</f>
        <v>699139.89261604904</v>
      </c>
      <c r="V41">
        <f>S41-U41</f>
        <v>-48659.832616048981</v>
      </c>
      <c r="W41" s="30">
        <f>V41/S41*100</f>
        <v>-7.4806032664627677</v>
      </c>
    </row>
    <row r="42" spans="1:23">
      <c r="A42" s="1" t="s">
        <v>31</v>
      </c>
      <c r="B42" s="3">
        <v>45689</v>
      </c>
      <c r="C42" s="1" t="s">
        <v>20</v>
      </c>
      <c r="D42" s="1">
        <f>IF(C42="East",1,0)</f>
        <v>0</v>
      </c>
      <c r="E42" s="1">
        <f>IF(C42="West",1,0)</f>
        <v>0</v>
      </c>
      <c r="F42" s="1">
        <f>IF(C42="North",1,0)</f>
        <v>1</v>
      </c>
      <c r="G42" s="1" t="s">
        <v>28</v>
      </c>
      <c r="H42" s="1">
        <f>IF(G42="Residential",1,0)</f>
        <v>0</v>
      </c>
      <c r="I42" s="1">
        <f>IF(G42="High Street",1,0)</f>
        <v>0</v>
      </c>
      <c r="J42" s="1">
        <f>IF(G42="Mall",1,0)</f>
        <v>1</v>
      </c>
      <c r="K42" s="1">
        <v>61245.41</v>
      </c>
      <c r="L42" s="1">
        <v>8156</v>
      </c>
      <c r="M42" s="1">
        <v>0.156</v>
      </c>
      <c r="N42" s="1">
        <v>19</v>
      </c>
      <c r="O42" s="1">
        <v>92.9</v>
      </c>
      <c r="P42" s="1">
        <v>9.0500000000000007</v>
      </c>
      <c r="Q42" s="1">
        <v>0</v>
      </c>
      <c r="R42" s="1">
        <v>3.8</v>
      </c>
      <c r="S42" s="1">
        <v>718330.53</v>
      </c>
      <c r="T42" s="1">
        <v>93247.9</v>
      </c>
      <c r="U42">
        <f>146249.7963 + (33.6835738*L42) + (1.176703422*K42) + (3062.934007*O42) + (-39654.57312*H42) + (-22957.90276*I42) + (-11306.62502*J42)</f>
        <v>766280.65197189304</v>
      </c>
      <c r="V42">
        <f>S42-U42</f>
        <v>-47950.121971893008</v>
      </c>
      <c r="W42" s="30">
        <f>V42/S42*100</f>
        <v>-6.6752170441499965</v>
      </c>
    </row>
    <row r="43" spans="1:23">
      <c r="A43" s="1" t="s">
        <v>60</v>
      </c>
      <c r="B43" s="3">
        <v>45717</v>
      </c>
      <c r="C43" s="1" t="s">
        <v>15</v>
      </c>
      <c r="D43" s="1">
        <f>IF(C43="East",1,0)</f>
        <v>1</v>
      </c>
      <c r="E43" s="1">
        <f>IF(C43="West",1,0)</f>
        <v>0</v>
      </c>
      <c r="F43" s="1">
        <f>IF(C43="North",1,0)</f>
        <v>0</v>
      </c>
      <c r="G43" s="1" t="s">
        <v>18</v>
      </c>
      <c r="H43" s="1">
        <f>IF(G43="Residential",1,0)</f>
        <v>0</v>
      </c>
      <c r="I43" s="1">
        <f>IF(G43="High Street",1,0)</f>
        <v>1</v>
      </c>
      <c r="J43" s="1">
        <f>IF(G43="Mall",1,0)</f>
        <v>0</v>
      </c>
      <c r="K43" s="1">
        <v>61433.84</v>
      </c>
      <c r="L43" s="1">
        <v>7745</v>
      </c>
      <c r="M43" s="1">
        <v>0.18</v>
      </c>
      <c r="N43" s="1">
        <v>16</v>
      </c>
      <c r="O43" s="1">
        <v>90.5</v>
      </c>
      <c r="P43" s="1">
        <v>2.2599999999999998</v>
      </c>
      <c r="Q43" s="1">
        <v>0</v>
      </c>
      <c r="R43" s="1">
        <v>4.2</v>
      </c>
      <c r="S43" s="1">
        <v>685830.24</v>
      </c>
      <c r="T43" s="1">
        <v>128736.18</v>
      </c>
      <c r="U43">
        <f>146249.7963 + (33.6835738*L43) + (1.176703422*K43) + (3062.934007*O43) + (-39654.57312*H43) + (-22957.90276*I43) + (-11306.62502*J43)</f>
        <v>733656.11000910052</v>
      </c>
      <c r="V43">
        <f>S43-U43</f>
        <v>-47825.87000910053</v>
      </c>
      <c r="W43" s="30">
        <f>V43/S43*100</f>
        <v>-6.9734268365157721</v>
      </c>
    </row>
    <row r="44" spans="1:23">
      <c r="A44" s="1" t="s">
        <v>30</v>
      </c>
      <c r="B44" s="3">
        <v>45689</v>
      </c>
      <c r="C44" s="1" t="s">
        <v>20</v>
      </c>
      <c r="D44" s="1">
        <f>IF(C44="East",1,0)</f>
        <v>0</v>
      </c>
      <c r="E44" s="1">
        <f>IF(C44="West",1,0)</f>
        <v>0</v>
      </c>
      <c r="F44" s="1">
        <f>IF(C44="North",1,0)</f>
        <v>1</v>
      </c>
      <c r="G44" s="1" t="s">
        <v>16</v>
      </c>
      <c r="H44" s="1">
        <f>IF(G44="Residential",1,0)</f>
        <v>1</v>
      </c>
      <c r="I44" s="1">
        <f>IF(G44="High Street",1,0)</f>
        <v>0</v>
      </c>
      <c r="J44" s="1">
        <f>IF(G44="Mall",1,0)</f>
        <v>0</v>
      </c>
      <c r="K44" s="1">
        <v>73771.91</v>
      </c>
      <c r="L44" s="1">
        <v>11695</v>
      </c>
      <c r="M44" s="1">
        <v>7.0000000000000007E-2</v>
      </c>
      <c r="N44" s="1">
        <v>25</v>
      </c>
      <c r="O44" s="1">
        <v>84.7</v>
      </c>
      <c r="P44" s="1">
        <v>0.62</v>
      </c>
      <c r="Q44" s="1">
        <v>0</v>
      </c>
      <c r="R44" s="1">
        <v>3.92</v>
      </c>
      <c r="S44" s="1">
        <v>799477.76000000001</v>
      </c>
      <c r="T44" s="1">
        <v>164974.41</v>
      </c>
      <c r="U44">
        <f>146249.7963 + (33.6835738*L44) + (1.176703422*K44) + (3062.934007*O44) + (-39654.57312*H44) + (-22957.90276*I44) + (-11306.62502*J44)</f>
        <v>846762.78810837597</v>
      </c>
      <c r="V44">
        <f>S44-U44</f>
        <v>-47285.028108375962</v>
      </c>
      <c r="W44" s="30">
        <f>V44/S44*100</f>
        <v>-5.9144894922875606</v>
      </c>
    </row>
    <row r="45" spans="1:23">
      <c r="A45" s="1" t="s">
        <v>47</v>
      </c>
      <c r="B45" s="3">
        <v>45689</v>
      </c>
      <c r="C45" s="1" t="s">
        <v>15</v>
      </c>
      <c r="D45" s="1">
        <f>IF(C45="East",1,0)</f>
        <v>1</v>
      </c>
      <c r="E45" s="1">
        <f>IF(C45="West",1,0)</f>
        <v>0</v>
      </c>
      <c r="F45" s="1">
        <f>IF(C45="North",1,0)</f>
        <v>0</v>
      </c>
      <c r="G45" s="1" t="s">
        <v>28</v>
      </c>
      <c r="H45" s="1">
        <f>IF(G45="Residential",1,0)</f>
        <v>0</v>
      </c>
      <c r="I45" s="1">
        <f>IF(G45="High Street",1,0)</f>
        <v>0</v>
      </c>
      <c r="J45" s="1">
        <f>IF(G45="Mall",1,0)</f>
        <v>1</v>
      </c>
      <c r="K45" s="1">
        <v>63101.59</v>
      </c>
      <c r="L45" s="1">
        <v>4373</v>
      </c>
      <c r="M45" s="1">
        <v>0.17299999999999999</v>
      </c>
      <c r="N45" s="1">
        <v>14</v>
      </c>
      <c r="O45" s="1">
        <v>90.4</v>
      </c>
      <c r="P45" s="1">
        <v>7.87</v>
      </c>
      <c r="Q45" s="1">
        <v>0</v>
      </c>
      <c r="R45" s="1">
        <v>4.7</v>
      </c>
      <c r="S45" s="1">
        <v>586626.93999999994</v>
      </c>
      <c r="T45" s="1">
        <v>86498.55</v>
      </c>
      <c r="U45">
        <f>146249.7963 + (33.6835738*L45) + (1.176703422*K45) + (3062.934007*O45) + (-39654.57312*H45) + (-22957.90276*I45) + (-11306.62502*J45)</f>
        <v>633382.53062684101</v>
      </c>
      <c r="V45">
        <f>S45-U45</f>
        <v>-46755.590626841062</v>
      </c>
      <c r="W45" s="30">
        <f>V45/S45*100</f>
        <v>-7.9702426599843958</v>
      </c>
    </row>
    <row r="46" spans="1:23">
      <c r="A46" s="1" t="s">
        <v>98</v>
      </c>
      <c r="B46" s="3">
        <v>45748</v>
      </c>
      <c r="C46" s="1" t="s">
        <v>24</v>
      </c>
      <c r="D46" s="1">
        <f>IF(C46="East",1,0)</f>
        <v>0</v>
      </c>
      <c r="E46" s="1">
        <f>IF(C46="West",1,0)</f>
        <v>0</v>
      </c>
      <c r="F46" s="1">
        <f>IF(C46="North",1,0)</f>
        <v>0</v>
      </c>
      <c r="G46" s="1" t="s">
        <v>16</v>
      </c>
      <c r="H46" s="1">
        <f>IF(G46="Residential",1,0)</f>
        <v>1</v>
      </c>
      <c r="I46" s="1">
        <f>IF(G46="High Street",1,0)</f>
        <v>0</v>
      </c>
      <c r="J46" s="1">
        <f>IF(G46="Mall",1,0)</f>
        <v>0</v>
      </c>
      <c r="K46" s="1">
        <v>60684.05</v>
      </c>
      <c r="L46" s="1">
        <v>6399</v>
      </c>
      <c r="M46" s="1">
        <v>7.4999999999999997E-2</v>
      </c>
      <c r="N46" s="1">
        <v>16</v>
      </c>
      <c r="O46" s="1">
        <v>99</v>
      </c>
      <c r="P46" s="1">
        <v>3.82</v>
      </c>
      <c r="Q46" s="1">
        <v>0</v>
      </c>
      <c r="R46" s="1">
        <v>3.5</v>
      </c>
      <c r="S46" s="1">
        <v>651164.18000000005</v>
      </c>
      <c r="T46" s="1">
        <v>109466.5</v>
      </c>
      <c r="U46">
        <f>146249.7963 + (33.6835738*L46) + (1.176703422*K46) + (3062.934007*O46) + (-39654.57312*H46) + (-22957.90276*I46) + (-11306.62502*J46)</f>
        <v>696774.00791501917</v>
      </c>
      <c r="V46">
        <f>S46-U46</f>
        <v>-45609.827915019123</v>
      </c>
      <c r="W46" s="30">
        <f>V46/S46*100</f>
        <v>-7.0043514855223021</v>
      </c>
    </row>
    <row r="47" spans="1:23">
      <c r="A47" s="1" t="s">
        <v>72</v>
      </c>
      <c r="B47" s="3">
        <v>45748</v>
      </c>
      <c r="C47" s="1" t="s">
        <v>15</v>
      </c>
      <c r="D47" s="1">
        <f>IF(C47="East",1,0)</f>
        <v>1</v>
      </c>
      <c r="E47" s="1">
        <f>IF(C47="West",1,0)</f>
        <v>0</v>
      </c>
      <c r="F47" s="1">
        <f>IF(C47="North",1,0)</f>
        <v>0</v>
      </c>
      <c r="G47" s="1" t="s">
        <v>21</v>
      </c>
      <c r="H47" s="1">
        <f>IF(G47="Residential",1,0)</f>
        <v>0</v>
      </c>
      <c r="I47" s="1">
        <f>IF(G47="High Street",1,0)</f>
        <v>0</v>
      </c>
      <c r="J47" s="1">
        <f>IF(G47="Mall",1,0)</f>
        <v>0</v>
      </c>
      <c r="K47" s="1">
        <v>64104.28</v>
      </c>
      <c r="L47" s="1">
        <v>6015</v>
      </c>
      <c r="M47" s="1">
        <v>0.127</v>
      </c>
      <c r="N47" s="1">
        <v>15</v>
      </c>
      <c r="O47" s="1">
        <v>88.7</v>
      </c>
      <c r="P47" s="1">
        <v>0.78</v>
      </c>
      <c r="Q47" s="1">
        <v>0</v>
      </c>
      <c r="R47" s="1">
        <v>4</v>
      </c>
      <c r="S47" s="1">
        <v>650795.49</v>
      </c>
      <c r="T47" s="1">
        <v>103035.89</v>
      </c>
      <c r="U47">
        <f>146249.7963 + (33.6835738*L47) + (1.176703422*K47) + (3062.934007*O47) + (-39654.57312*H47) + (-22957.90276*I47) + (-11306.62502*J47)</f>
        <v>695970.46476874617</v>
      </c>
      <c r="V47">
        <f>S47-U47</f>
        <v>-45174.974768746179</v>
      </c>
      <c r="W47" s="30">
        <f>V47/S47*100</f>
        <v>-6.9415008958876134</v>
      </c>
    </row>
    <row r="48" spans="1:23">
      <c r="A48" s="1" t="s">
        <v>61</v>
      </c>
      <c r="B48" s="3">
        <v>45689</v>
      </c>
      <c r="C48" s="1" t="s">
        <v>20</v>
      </c>
      <c r="D48" s="1">
        <f>IF(C48="East",1,0)</f>
        <v>0</v>
      </c>
      <c r="E48" s="1">
        <f>IF(C48="West",1,0)</f>
        <v>0</v>
      </c>
      <c r="F48" s="1">
        <f>IF(C48="North",1,0)</f>
        <v>1</v>
      </c>
      <c r="G48" s="1" t="s">
        <v>28</v>
      </c>
      <c r="H48" s="1">
        <f>IF(G48="Residential",1,0)</f>
        <v>0</v>
      </c>
      <c r="I48" s="1">
        <f>IF(G48="High Street",1,0)</f>
        <v>0</v>
      </c>
      <c r="J48" s="1">
        <f>IF(G48="Mall",1,0)</f>
        <v>1</v>
      </c>
      <c r="K48" s="1">
        <v>41863.08</v>
      </c>
      <c r="L48" s="1">
        <v>5400</v>
      </c>
      <c r="M48" s="1">
        <v>0.114</v>
      </c>
      <c r="N48" s="1">
        <v>11</v>
      </c>
      <c r="O48" s="1">
        <v>91.6</v>
      </c>
      <c r="P48" s="1">
        <v>7.99</v>
      </c>
      <c r="Q48" s="1">
        <v>0</v>
      </c>
      <c r="R48" s="1">
        <v>3</v>
      </c>
      <c r="S48" s="1">
        <v>602002.31999999995</v>
      </c>
      <c r="T48" s="1">
        <v>110453.28</v>
      </c>
      <c r="U48">
        <f>146249.7963 + (33.6835738*L48) + (1.176703422*K48) + (3062.934007*O48) + (-39654.57312*H48) + (-22957.90276*I48) + (-11306.62502*J48)</f>
        <v>646659.65433265967</v>
      </c>
      <c r="V48">
        <f>S48-U48</f>
        <v>-44657.334332659724</v>
      </c>
      <c r="W48" s="30">
        <f>V48/S48*100</f>
        <v>-7.4181332611242645</v>
      </c>
    </row>
    <row r="49" spans="1:23">
      <c r="A49" s="1" t="s">
        <v>79</v>
      </c>
      <c r="B49" s="3">
        <v>45717</v>
      </c>
      <c r="C49" s="1" t="s">
        <v>15</v>
      </c>
      <c r="D49" s="1">
        <f>IF(C49="East",1,0)</f>
        <v>1</v>
      </c>
      <c r="E49" s="1">
        <f>IF(C49="West",1,0)</f>
        <v>0</v>
      </c>
      <c r="F49" s="1">
        <f>IF(C49="North",1,0)</f>
        <v>0</v>
      </c>
      <c r="G49" s="1" t="s">
        <v>18</v>
      </c>
      <c r="H49" s="1">
        <f>IF(G49="Residential",1,0)</f>
        <v>0</v>
      </c>
      <c r="I49" s="1">
        <f>IF(G49="High Street",1,0)</f>
        <v>1</v>
      </c>
      <c r="J49" s="1">
        <f>IF(G49="Mall",1,0)</f>
        <v>0</v>
      </c>
      <c r="K49" s="1">
        <v>33173.949999999997</v>
      </c>
      <c r="L49" s="1">
        <v>6545</v>
      </c>
      <c r="M49" s="1">
        <v>0.16900000000000001</v>
      </c>
      <c r="N49" s="1">
        <v>15</v>
      </c>
      <c r="O49" s="1">
        <v>84.4</v>
      </c>
      <c r="P49" s="1">
        <v>2.48</v>
      </c>
      <c r="Q49" s="1">
        <v>0</v>
      </c>
      <c r="R49" s="1">
        <v>3.9</v>
      </c>
      <c r="S49" s="1">
        <v>596969.27</v>
      </c>
      <c r="T49" s="1">
        <v>105669.51</v>
      </c>
      <c r="U49">
        <f>146249.7963 + (33.6835738*L49) + (1.176703422*K49) + (3062.934007*O49) + (-39654.57312*H49) + (-22957.90276*I49) + (-11306.62502*J49)</f>
        <v>641298.41473805695</v>
      </c>
      <c r="V49">
        <f>S49-U49</f>
        <v>-44329.14473805693</v>
      </c>
      <c r="W49" s="30">
        <f>V49/S49*100</f>
        <v>-7.4256996072941801</v>
      </c>
    </row>
    <row r="50" spans="1:23">
      <c r="A50" s="1" t="s">
        <v>22</v>
      </c>
      <c r="B50" s="3">
        <v>45689</v>
      </c>
      <c r="C50" s="1" t="s">
        <v>15</v>
      </c>
      <c r="D50" s="1">
        <f>IF(C50="East",1,0)</f>
        <v>1</v>
      </c>
      <c r="E50" s="1">
        <f>IF(C50="West",1,0)</f>
        <v>0</v>
      </c>
      <c r="F50" s="1">
        <f>IF(C50="North",1,0)</f>
        <v>0</v>
      </c>
      <c r="G50" s="1" t="s">
        <v>16</v>
      </c>
      <c r="H50" s="1">
        <f>IF(G50="Residential",1,0)</f>
        <v>1</v>
      </c>
      <c r="I50" s="1">
        <f>IF(G50="High Street",1,0)</f>
        <v>0</v>
      </c>
      <c r="J50" s="1">
        <f>IF(G50="Mall",1,0)</f>
        <v>0</v>
      </c>
      <c r="K50" s="1">
        <v>55716.82</v>
      </c>
      <c r="L50" s="1">
        <v>10054</v>
      </c>
      <c r="M50" s="1">
        <v>0.14599999999999999</v>
      </c>
      <c r="N50" s="1">
        <v>24</v>
      </c>
      <c r="O50" s="1">
        <v>84.9</v>
      </c>
      <c r="P50" s="1">
        <v>1.06</v>
      </c>
      <c r="Q50" s="1">
        <v>0</v>
      </c>
      <c r="R50" s="1">
        <v>4.3</v>
      </c>
      <c r="S50" s="1">
        <v>726606.28</v>
      </c>
      <c r="T50" s="1">
        <v>122729.29</v>
      </c>
      <c r="U50">
        <f>146249.7963 + (33.6835738*L50) + (1.176703422*K50) + (3062.934007*O50) + (-39654.57312*H50) + (-22957.90276*I50) + (-11306.62502*J50)</f>
        <v>770855.14411645802</v>
      </c>
      <c r="V50">
        <f>S50-U50</f>
        <v>-44248.864116457989</v>
      </c>
      <c r="W50" s="30">
        <f>V50/S50*100</f>
        <v>-6.0897992949438846</v>
      </c>
    </row>
    <row r="51" spans="1:23">
      <c r="A51" s="1" t="s">
        <v>78</v>
      </c>
      <c r="B51" s="3">
        <v>45717</v>
      </c>
      <c r="C51" s="1" t="s">
        <v>15</v>
      </c>
      <c r="D51" s="1">
        <f>IF(C51="East",1,0)</f>
        <v>1</v>
      </c>
      <c r="E51" s="1">
        <f>IF(C51="West",1,0)</f>
        <v>0</v>
      </c>
      <c r="F51" s="1">
        <f>IF(C51="North",1,0)</f>
        <v>0</v>
      </c>
      <c r="G51" s="1" t="s">
        <v>28</v>
      </c>
      <c r="H51" s="1">
        <f>IF(G51="Residential",1,0)</f>
        <v>0</v>
      </c>
      <c r="I51" s="1">
        <f>IF(G51="High Street",1,0)</f>
        <v>0</v>
      </c>
      <c r="J51" s="1">
        <f>IF(G51="Mall",1,0)</f>
        <v>1</v>
      </c>
      <c r="K51" s="1">
        <v>42932.02</v>
      </c>
      <c r="L51" s="1">
        <v>3872</v>
      </c>
      <c r="M51" s="1">
        <v>0.17100000000000001</v>
      </c>
      <c r="N51" s="1">
        <v>12</v>
      </c>
      <c r="O51" s="1">
        <v>83.2</v>
      </c>
      <c r="P51" s="1">
        <v>15.58</v>
      </c>
      <c r="Q51" s="1">
        <v>0</v>
      </c>
      <c r="R51" s="1">
        <v>3.3</v>
      </c>
      <c r="S51" s="1">
        <v>527681.56000000006</v>
      </c>
      <c r="T51" s="1">
        <v>63153.05</v>
      </c>
      <c r="U51">
        <f>146249.7963 + (33.6835738*L51) + (1.176703422*K51) + (3062.934007*O51) + (-39654.57312*H51) + (-22957.90276*I51) + (-11306.62502*J51)</f>
        <v>570720.33326337242</v>
      </c>
      <c r="V51">
        <f>S51-U51</f>
        <v>-43038.773263372364</v>
      </c>
      <c r="W51" s="30">
        <f>V51/S51*100</f>
        <v>-8.1562018698118539</v>
      </c>
    </row>
    <row r="52" spans="1:23">
      <c r="A52" s="1" t="s">
        <v>19</v>
      </c>
      <c r="B52" s="3">
        <v>45717</v>
      </c>
      <c r="C52" s="1" t="s">
        <v>20</v>
      </c>
      <c r="D52" s="1">
        <f>IF(C52="East",1,0)</f>
        <v>0</v>
      </c>
      <c r="E52" s="1">
        <f>IF(C52="West",1,0)</f>
        <v>0</v>
      </c>
      <c r="F52" s="1">
        <f>IF(C52="North",1,0)</f>
        <v>1</v>
      </c>
      <c r="G52" s="1" t="s">
        <v>21</v>
      </c>
      <c r="H52" s="1">
        <f>IF(G52="Residential",1,0)</f>
        <v>0</v>
      </c>
      <c r="I52" s="1">
        <f>IF(G52="High Street",1,0)</f>
        <v>0</v>
      </c>
      <c r="J52" s="1">
        <f>IF(G52="Mall",1,0)</f>
        <v>0</v>
      </c>
      <c r="K52" s="1">
        <v>34285.21</v>
      </c>
      <c r="L52" s="1">
        <v>9172</v>
      </c>
      <c r="M52" s="1">
        <v>0.21299999999999999</v>
      </c>
      <c r="N52" s="1">
        <v>22</v>
      </c>
      <c r="O52" s="1">
        <v>88.3</v>
      </c>
      <c r="P52" s="1">
        <v>10.46</v>
      </c>
      <c r="Q52" s="1">
        <v>1</v>
      </c>
      <c r="R52" s="1">
        <v>3.8</v>
      </c>
      <c r="S52" s="1">
        <v>723060.76</v>
      </c>
      <c r="T52" s="1">
        <v>123131.24</v>
      </c>
      <c r="U52">
        <f>146249.7963 + (33.6835738*L52) + (1.176703422*K52) + (3062.934007*O52) + (-39654.57312*H52) + (-22957.90276*I52) + (-11306.62502*J52)</f>
        <v>765996.1319426886</v>
      </c>
      <c r="V52">
        <f>S52-U52</f>
        <v>-42935.371942688595</v>
      </c>
      <c r="W52" s="30">
        <f>V52/S52*100</f>
        <v>-5.9380033211439374</v>
      </c>
    </row>
    <row r="53" spans="1:23">
      <c r="A53" s="1" t="s">
        <v>50</v>
      </c>
      <c r="B53" s="3">
        <v>45748</v>
      </c>
      <c r="C53" s="1" t="s">
        <v>27</v>
      </c>
      <c r="D53" s="1">
        <f>IF(C53="East",1,0)</f>
        <v>0</v>
      </c>
      <c r="E53" s="1">
        <f>IF(C53="West",1,0)</f>
        <v>1</v>
      </c>
      <c r="F53" s="1">
        <f>IF(C53="North",1,0)</f>
        <v>0</v>
      </c>
      <c r="G53" s="1" t="s">
        <v>28</v>
      </c>
      <c r="H53" s="1">
        <f>IF(G53="Residential",1,0)</f>
        <v>0</v>
      </c>
      <c r="I53" s="1">
        <f>IF(G53="High Street",1,0)</f>
        <v>0</v>
      </c>
      <c r="J53" s="1">
        <f>IF(G53="Mall",1,0)</f>
        <v>1</v>
      </c>
      <c r="K53" s="1">
        <v>25990.54</v>
      </c>
      <c r="L53" s="1">
        <v>9249</v>
      </c>
      <c r="M53" s="1">
        <v>0.13900000000000001</v>
      </c>
      <c r="N53" s="1">
        <v>23</v>
      </c>
      <c r="O53" s="1">
        <v>92.5</v>
      </c>
      <c r="P53" s="1">
        <v>6.37</v>
      </c>
      <c r="Q53" s="1">
        <v>0</v>
      </c>
      <c r="R53" s="1">
        <v>3.3</v>
      </c>
      <c r="S53" s="1">
        <v>718074.79</v>
      </c>
      <c r="T53" s="1">
        <v>115819.87</v>
      </c>
      <c r="U53">
        <f>146249.7963 + (33.6835738*L53) + (1.176703422*K53) + (3062.934007*O53) + (-39654.57312*H53) + (-22957.90276*I53) + (-11306.62502*J53)</f>
        <v>760387.09836132778</v>
      </c>
      <c r="V53">
        <f>S53-U53</f>
        <v>-42312.308361327741</v>
      </c>
      <c r="W53" s="30">
        <f>V53/S53*100</f>
        <v>-5.8924653741607802</v>
      </c>
    </row>
    <row r="54" spans="1:23">
      <c r="A54" s="1" t="s">
        <v>92</v>
      </c>
      <c r="B54" s="3">
        <v>45658</v>
      </c>
      <c r="C54" s="1" t="s">
        <v>24</v>
      </c>
      <c r="D54" s="1">
        <f>IF(C54="East",1,0)</f>
        <v>0</v>
      </c>
      <c r="E54" s="1">
        <f>IF(C54="West",1,0)</f>
        <v>0</v>
      </c>
      <c r="F54" s="1">
        <f>IF(C54="North",1,0)</f>
        <v>0</v>
      </c>
      <c r="G54" s="1" t="s">
        <v>18</v>
      </c>
      <c r="H54" s="1">
        <f>IF(G54="Residential",1,0)</f>
        <v>0</v>
      </c>
      <c r="I54" s="1">
        <f>IF(G54="High Street",1,0)</f>
        <v>1</v>
      </c>
      <c r="J54" s="1">
        <f>IF(G54="Mall",1,0)</f>
        <v>0</v>
      </c>
      <c r="K54" s="1">
        <v>45940.39</v>
      </c>
      <c r="L54" s="1">
        <v>4022</v>
      </c>
      <c r="M54" s="1">
        <v>6.9000000000000006E-2</v>
      </c>
      <c r="N54" s="1">
        <v>10</v>
      </c>
      <c r="O54" s="1">
        <v>83</v>
      </c>
      <c r="P54" s="1">
        <v>1.23</v>
      </c>
      <c r="Q54" s="1">
        <v>1</v>
      </c>
      <c r="R54" s="1">
        <v>3.8</v>
      </c>
      <c r="S54" s="1">
        <v>524899.56999999995</v>
      </c>
      <c r="T54" s="1">
        <v>63619.98</v>
      </c>
      <c r="U54">
        <f>146249.7963 + (33.6835738*L54) + (1.176703422*K54) + (3062.934007*O54) + (-39654.57312*H54) + (-22957.90276*I54) + (-11306.62502*J54)</f>
        <v>567048.96406561462</v>
      </c>
      <c r="V54">
        <f>S54-U54</f>
        <v>-42149.394065614673</v>
      </c>
      <c r="W54" s="30">
        <f>V54/S54*100</f>
        <v>-8.0299921117509534</v>
      </c>
    </row>
    <row r="55" spans="1:23">
      <c r="A55" s="1" t="s">
        <v>85</v>
      </c>
      <c r="B55" s="3">
        <v>45748</v>
      </c>
      <c r="C55" s="1" t="s">
        <v>24</v>
      </c>
      <c r="D55" s="1">
        <f>IF(C55="East",1,0)</f>
        <v>0</v>
      </c>
      <c r="E55" s="1">
        <f>IF(C55="West",1,0)</f>
        <v>0</v>
      </c>
      <c r="F55" s="1">
        <f>IF(C55="North",1,0)</f>
        <v>0</v>
      </c>
      <c r="G55" s="1" t="s">
        <v>21</v>
      </c>
      <c r="H55" s="1">
        <f>IF(G55="Residential",1,0)</f>
        <v>0</v>
      </c>
      <c r="I55" s="1">
        <f>IF(G55="High Street",1,0)</f>
        <v>0</v>
      </c>
      <c r="J55" s="1">
        <f>IF(G55="Mall",1,0)</f>
        <v>0</v>
      </c>
      <c r="K55" s="1">
        <v>36290.080000000002</v>
      </c>
      <c r="L55" s="1">
        <v>5787</v>
      </c>
      <c r="M55" s="1">
        <v>0</v>
      </c>
      <c r="N55" s="1">
        <v>17</v>
      </c>
      <c r="O55" s="1">
        <v>88.3</v>
      </c>
      <c r="P55" s="1">
        <v>4.1900000000000004</v>
      </c>
      <c r="Q55" s="1">
        <v>0</v>
      </c>
      <c r="R55" s="1">
        <v>4.0999999999999996</v>
      </c>
      <c r="S55" s="1">
        <v>612390.14</v>
      </c>
      <c r="T55" s="1">
        <v>108985.74</v>
      </c>
      <c r="U55">
        <f>146249.7963 + (33.6835738*L55) + (1.176703422*K55) + (3062.934007*O55) + (-39654.57312*H55) + (-22957.90276*I55) + (-11306.62502*J55)</f>
        <v>654336.37201935367</v>
      </c>
      <c r="V55">
        <f>S55-U55</f>
        <v>-41946.232019353658</v>
      </c>
      <c r="W55" s="30">
        <f>V55/S55*100</f>
        <v>-6.8495929766853623</v>
      </c>
    </row>
    <row r="56" spans="1:23">
      <c r="A56" s="1" t="s">
        <v>83</v>
      </c>
      <c r="B56" s="3">
        <v>45717</v>
      </c>
      <c r="C56" s="1" t="s">
        <v>15</v>
      </c>
      <c r="D56" s="1">
        <f>IF(C56="East",1,0)</f>
        <v>1</v>
      </c>
      <c r="E56" s="1">
        <f>IF(C56="West",1,0)</f>
        <v>0</v>
      </c>
      <c r="F56" s="1">
        <f>IF(C56="North",1,0)</f>
        <v>0</v>
      </c>
      <c r="G56" s="1" t="s">
        <v>18</v>
      </c>
      <c r="H56" s="1">
        <f>IF(G56="Residential",1,0)</f>
        <v>0</v>
      </c>
      <c r="I56" s="1">
        <f>IF(G56="High Street",1,0)</f>
        <v>1</v>
      </c>
      <c r="J56" s="1">
        <f>IF(G56="Mall",1,0)</f>
        <v>0</v>
      </c>
      <c r="K56" s="1">
        <v>57390.04</v>
      </c>
      <c r="L56" s="1">
        <v>7374</v>
      </c>
      <c r="M56" s="1">
        <v>0.21</v>
      </c>
      <c r="N56" s="1">
        <v>21</v>
      </c>
      <c r="O56" s="1">
        <v>91.8</v>
      </c>
      <c r="P56" s="1">
        <v>0.2</v>
      </c>
      <c r="Q56" s="1">
        <v>0</v>
      </c>
      <c r="R56" s="1">
        <v>3.1</v>
      </c>
      <c r="S56" s="1">
        <v>679230.86</v>
      </c>
      <c r="T56" s="1">
        <v>106927.58</v>
      </c>
      <c r="U56">
        <f>146249.7963 + (33.6835738*L56) + (1.176703422*K56) + (3062.934007*O56) + (-39654.57312*H56) + (-22957.90276*I56) + (-11306.62502*J56)</f>
        <v>720382.96504051681</v>
      </c>
      <c r="V56">
        <f>S56-U56</f>
        <v>-41152.105040516821</v>
      </c>
      <c r="W56" s="30">
        <f>V56/S56*100</f>
        <v>-6.0586330015271717</v>
      </c>
    </row>
    <row r="57" spans="1:23">
      <c r="A57" s="1" t="s">
        <v>77</v>
      </c>
      <c r="B57" s="3">
        <v>45748</v>
      </c>
      <c r="C57" s="1" t="s">
        <v>15</v>
      </c>
      <c r="D57" s="1">
        <f>IF(C57="East",1,0)</f>
        <v>1</v>
      </c>
      <c r="E57" s="1">
        <f>IF(C57="West",1,0)</f>
        <v>0</v>
      </c>
      <c r="F57" s="1">
        <f>IF(C57="North",1,0)</f>
        <v>0</v>
      </c>
      <c r="G57" s="1" t="s">
        <v>18</v>
      </c>
      <c r="H57" s="1">
        <f>IF(G57="Residential",1,0)</f>
        <v>0</v>
      </c>
      <c r="I57" s="1">
        <f>IF(G57="High Street",1,0)</f>
        <v>1</v>
      </c>
      <c r="J57" s="1">
        <f>IF(G57="Mall",1,0)</f>
        <v>0</v>
      </c>
      <c r="K57" s="1">
        <v>73540.990000000005</v>
      </c>
      <c r="L57" s="1">
        <v>8773</v>
      </c>
      <c r="M57" s="1">
        <v>3.5000000000000003E-2</v>
      </c>
      <c r="N57" s="1">
        <v>21</v>
      </c>
      <c r="O57" s="1">
        <v>84.4</v>
      </c>
      <c r="P57" s="1">
        <v>6.68</v>
      </c>
      <c r="Q57" s="1">
        <v>0</v>
      </c>
      <c r="R57" s="1">
        <v>3.6</v>
      </c>
      <c r="S57" s="1">
        <v>723531.4</v>
      </c>
      <c r="T57" s="1">
        <v>108794.85</v>
      </c>
      <c r="U57">
        <f>146249.7963 + (33.6835738*L57) + (1.176703422*K57) + (3062.934007*O57) + (-39654.57312*H57) + (-22957.90276*I57) + (-11306.62502*J57)</f>
        <v>763845.45126846782</v>
      </c>
      <c r="V57">
        <f>S57-U57</f>
        <v>-40314.051268467796</v>
      </c>
      <c r="W57" s="30">
        <f>V57/S57*100</f>
        <v>-5.5718454331723262</v>
      </c>
    </row>
    <row r="58" spans="1:23">
      <c r="A58" s="1" t="s">
        <v>14</v>
      </c>
      <c r="B58" s="3">
        <v>45658</v>
      </c>
      <c r="C58" s="1" t="s">
        <v>15</v>
      </c>
      <c r="D58" s="1">
        <f>IF(C58="East",1,0)</f>
        <v>1</v>
      </c>
      <c r="E58" s="1">
        <f>IF(C58="West",1,0)</f>
        <v>0</v>
      </c>
      <c r="F58" s="1">
        <f>IF(C58="North",1,0)</f>
        <v>0</v>
      </c>
      <c r="G58" s="1" t="s">
        <v>16</v>
      </c>
      <c r="H58" s="1">
        <f>IF(G58="Residential",1,0)</f>
        <v>1</v>
      </c>
      <c r="I58" s="1">
        <f>IF(G58="High Street",1,0)</f>
        <v>0</v>
      </c>
      <c r="J58" s="1">
        <f>IF(G58="Mall",1,0)</f>
        <v>0</v>
      </c>
      <c r="K58" s="1">
        <v>70389.11</v>
      </c>
      <c r="L58" s="1">
        <v>8302</v>
      </c>
      <c r="M58" s="1">
        <v>4.2000000000000003E-2</v>
      </c>
      <c r="N58" s="1">
        <v>17</v>
      </c>
      <c r="O58" s="1">
        <v>75</v>
      </c>
      <c r="P58" s="1">
        <v>5.28</v>
      </c>
      <c r="Q58" s="1">
        <v>1</v>
      </c>
      <c r="R58" s="1">
        <v>3.1</v>
      </c>
      <c r="S58" s="1">
        <v>658832.62</v>
      </c>
      <c r="T58" s="1">
        <v>84349.93</v>
      </c>
      <c r="U58">
        <f>146249.7963 + (33.6835738*L58) + (1.176703422*K58) + (3062.934007*O58) + (-39654.57312*H58) + (-22957.90276*I58) + (-11306.62502*J58)</f>
        <v>698783.41000113438</v>
      </c>
      <c r="V58">
        <f>S58-U58</f>
        <v>-39950.790001134388</v>
      </c>
      <c r="W58" s="30">
        <f>V58/S58*100</f>
        <v>-6.0638755259468464</v>
      </c>
    </row>
    <row r="59" spans="1:23">
      <c r="A59" s="1" t="s">
        <v>35</v>
      </c>
      <c r="B59" s="3">
        <v>45748</v>
      </c>
      <c r="C59" s="1" t="s">
        <v>27</v>
      </c>
      <c r="D59" s="1">
        <f>IF(C59="East",1,0)</f>
        <v>0</v>
      </c>
      <c r="E59" s="1">
        <f>IF(C59="West",1,0)</f>
        <v>1</v>
      </c>
      <c r="F59" s="1">
        <f>IF(C59="North",1,0)</f>
        <v>0</v>
      </c>
      <c r="G59" s="1" t="s">
        <v>18</v>
      </c>
      <c r="H59" s="1">
        <f>IF(G59="Residential",1,0)</f>
        <v>0</v>
      </c>
      <c r="I59" s="1">
        <f>IF(G59="High Street",1,0)</f>
        <v>1</v>
      </c>
      <c r="J59" s="1">
        <f>IF(G59="Mall",1,0)</f>
        <v>0</v>
      </c>
      <c r="K59" s="1">
        <v>27808.6</v>
      </c>
      <c r="L59" s="1">
        <v>2863</v>
      </c>
      <c r="M59" s="1">
        <v>0.08</v>
      </c>
      <c r="N59" s="1">
        <v>13</v>
      </c>
      <c r="O59" s="1">
        <v>89.3</v>
      </c>
      <c r="P59" s="1">
        <v>0.47</v>
      </c>
      <c r="Q59" s="1">
        <v>0</v>
      </c>
      <c r="R59" s="1">
        <v>4.0999999999999996</v>
      </c>
      <c r="S59" s="1">
        <v>487464.91</v>
      </c>
      <c r="T59" s="1">
        <v>64562.26</v>
      </c>
      <c r="U59">
        <f>146249.7963 + (33.6835738*L59) + (1.176703422*K59) + (3062.934007*O59) + (-39654.57312*H59) + (-22957.90276*I59) + (-11306.62502*J59)</f>
        <v>525970.44693552924</v>
      </c>
      <c r="V59">
        <f>S59-U59</f>
        <v>-38505.536935529264</v>
      </c>
      <c r="W59" s="30">
        <f>V59/S59*100</f>
        <v>-7.8991402551476506</v>
      </c>
    </row>
    <row r="60" spans="1:23">
      <c r="A60" s="1" t="s">
        <v>34</v>
      </c>
      <c r="B60" s="3">
        <v>45658</v>
      </c>
      <c r="C60" s="1" t="s">
        <v>20</v>
      </c>
      <c r="D60" s="1">
        <f>IF(C60="East",1,0)</f>
        <v>0</v>
      </c>
      <c r="E60" s="1">
        <f>IF(C60="West",1,0)</f>
        <v>0</v>
      </c>
      <c r="F60" s="1">
        <f>IF(C60="North",1,0)</f>
        <v>1</v>
      </c>
      <c r="G60" s="1" t="s">
        <v>28</v>
      </c>
      <c r="H60" s="1">
        <f>IF(G60="Residential",1,0)</f>
        <v>0</v>
      </c>
      <c r="I60" s="1">
        <f>IF(G60="High Street",1,0)</f>
        <v>0</v>
      </c>
      <c r="J60" s="1">
        <f>IF(G60="Mall",1,0)</f>
        <v>1</v>
      </c>
      <c r="K60" s="1">
        <v>46624.05</v>
      </c>
      <c r="L60" s="1">
        <v>5104</v>
      </c>
      <c r="M60" s="1">
        <v>0.109</v>
      </c>
      <c r="N60" s="1">
        <v>11</v>
      </c>
      <c r="O60" s="1">
        <v>97.3</v>
      </c>
      <c r="P60" s="1">
        <v>3.49</v>
      </c>
      <c r="Q60" s="1">
        <v>1</v>
      </c>
      <c r="R60" s="1">
        <v>4.7</v>
      </c>
      <c r="S60" s="1">
        <v>622811.74</v>
      </c>
      <c r="T60" s="1">
        <v>109978.35</v>
      </c>
      <c r="U60">
        <f>146249.7963 + (33.6835738*L60) + (1.176703422*K60) + (3062.934007*O60) + (-39654.57312*H60) + (-22957.90276*I60) + (-11306.62502*J60)</f>
        <v>659750.29001879902</v>
      </c>
      <c r="V60">
        <f>S60-U60</f>
        <v>-36938.550018799026</v>
      </c>
      <c r="W60" s="30">
        <f>V60/S60*100</f>
        <v>-5.9309334822106958</v>
      </c>
    </row>
    <row r="61" spans="1:23">
      <c r="A61" s="1" t="s">
        <v>99</v>
      </c>
      <c r="B61" s="3">
        <v>45689</v>
      </c>
      <c r="C61" s="1" t="s">
        <v>24</v>
      </c>
      <c r="D61" s="1">
        <f>IF(C61="East",1,0)</f>
        <v>0</v>
      </c>
      <c r="E61" s="1">
        <f>IF(C61="West",1,0)</f>
        <v>0</v>
      </c>
      <c r="F61" s="1">
        <f>IF(C61="North",1,0)</f>
        <v>0</v>
      </c>
      <c r="G61" s="1" t="s">
        <v>18</v>
      </c>
      <c r="H61" s="1">
        <f>IF(G61="Residential",1,0)</f>
        <v>0</v>
      </c>
      <c r="I61" s="1">
        <f>IF(G61="High Street",1,0)</f>
        <v>1</v>
      </c>
      <c r="J61" s="1">
        <f>IF(G61="Mall",1,0)</f>
        <v>0</v>
      </c>
      <c r="K61" s="1">
        <v>23702.38</v>
      </c>
      <c r="L61" s="1">
        <v>5285</v>
      </c>
      <c r="M61" s="1">
        <v>0.16700000000000001</v>
      </c>
      <c r="N61" s="1">
        <v>14</v>
      </c>
      <c r="O61" s="1">
        <v>79.7</v>
      </c>
      <c r="P61" s="1">
        <v>1.1000000000000001</v>
      </c>
      <c r="Q61" s="1">
        <v>0</v>
      </c>
      <c r="R61" s="1">
        <v>4.3</v>
      </c>
      <c r="S61" s="1">
        <v>536524.84</v>
      </c>
      <c r="T61" s="1">
        <v>92752.94</v>
      </c>
      <c r="U61">
        <f>146249.7963 + (33.6835738*L61) + (1.176703422*K61) + (3062.934007*O61) + (-39654.57312*H61) + (-22957.90276*I61) + (-11306.62502*J61)</f>
        <v>573316.09308644431</v>
      </c>
      <c r="V61">
        <f>S61-U61</f>
        <v>-36791.25308644434</v>
      </c>
      <c r="W61" s="30">
        <f>V61/S61*100</f>
        <v>-6.8573252053799303</v>
      </c>
    </row>
    <row r="62" spans="1:23">
      <c r="A62" s="1" t="s">
        <v>70</v>
      </c>
      <c r="B62" s="3">
        <v>45658</v>
      </c>
      <c r="C62" s="1" t="s">
        <v>27</v>
      </c>
      <c r="D62" s="1">
        <f>IF(C62="East",1,0)</f>
        <v>0</v>
      </c>
      <c r="E62" s="1">
        <f>IF(C62="West",1,0)</f>
        <v>1</v>
      </c>
      <c r="F62" s="1">
        <f>IF(C62="North",1,0)</f>
        <v>0</v>
      </c>
      <c r="G62" s="1" t="s">
        <v>16</v>
      </c>
      <c r="H62" s="1">
        <f>IF(G62="Residential",1,0)</f>
        <v>1</v>
      </c>
      <c r="I62" s="1">
        <f>IF(G62="High Street",1,0)</f>
        <v>0</v>
      </c>
      <c r="J62" s="1">
        <f>IF(G62="Mall",1,0)</f>
        <v>0</v>
      </c>
      <c r="K62" s="1">
        <v>81796.740000000005</v>
      </c>
      <c r="L62" s="1">
        <v>6177</v>
      </c>
      <c r="M62" s="1">
        <v>0.16400000000000001</v>
      </c>
      <c r="N62" s="1">
        <v>14</v>
      </c>
      <c r="O62" s="1">
        <v>87.9</v>
      </c>
      <c r="P62" s="1">
        <v>0.53</v>
      </c>
      <c r="Q62" s="1">
        <v>0</v>
      </c>
      <c r="R62" s="1">
        <v>3.2</v>
      </c>
      <c r="S62" s="1">
        <v>643428.85</v>
      </c>
      <c r="T62" s="1">
        <v>94477.63</v>
      </c>
      <c r="U62">
        <f>146249.7963 + (33.6835738*L62) + (1.176703422*K62) + (3062.934007*O62) + (-39654.57312*H62) + (-22957.90276*I62) + (-11306.62502*J62)</f>
        <v>680141.06162434432</v>
      </c>
      <c r="V62">
        <f>S62-U62</f>
        <v>-36712.211624344345</v>
      </c>
      <c r="W62" s="30">
        <f>V62/S62*100</f>
        <v>-5.7057142564161287</v>
      </c>
    </row>
    <row r="63" spans="1:23">
      <c r="A63" s="1" t="s">
        <v>52</v>
      </c>
      <c r="B63" s="3">
        <v>45717</v>
      </c>
      <c r="C63" s="1" t="s">
        <v>20</v>
      </c>
      <c r="D63" s="1">
        <f>IF(C63="East",1,0)</f>
        <v>0</v>
      </c>
      <c r="E63" s="1">
        <f>IF(C63="West",1,0)</f>
        <v>0</v>
      </c>
      <c r="F63" s="1">
        <f>IF(C63="North",1,0)</f>
        <v>1</v>
      </c>
      <c r="G63" s="1" t="s">
        <v>18</v>
      </c>
      <c r="H63" s="1">
        <f>IF(G63="Residential",1,0)</f>
        <v>0</v>
      </c>
      <c r="I63" s="1">
        <f>IF(G63="High Street",1,0)</f>
        <v>1</v>
      </c>
      <c r="J63" s="1">
        <f>IF(G63="Mall",1,0)</f>
        <v>0</v>
      </c>
      <c r="K63" s="1">
        <v>48396.13</v>
      </c>
      <c r="L63" s="1">
        <v>4423</v>
      </c>
      <c r="M63" s="1">
        <v>6.9000000000000006E-2</v>
      </c>
      <c r="N63" s="1">
        <v>15</v>
      </c>
      <c r="O63" s="1">
        <v>85.7</v>
      </c>
      <c r="P63" s="1">
        <v>1.88</v>
      </c>
      <c r="Q63" s="1">
        <v>0</v>
      </c>
      <c r="R63" s="1">
        <v>3.9</v>
      </c>
      <c r="S63" s="1">
        <v>557487.26</v>
      </c>
      <c r="T63" s="1">
        <v>76432.19</v>
      </c>
      <c r="U63">
        <f>146249.7963 + (33.6835738*L63) + (1.176703422*K63) + (3062.934007*O63) + (-39654.57312*H63) + (-22957.90276*I63) + (-11306.62502*J63)</f>
        <v>591715.67663985677</v>
      </c>
      <c r="V63">
        <f>S63-U63</f>
        <v>-34228.416639856761</v>
      </c>
      <c r="W63" s="30">
        <f>V63/S63*100</f>
        <v>-6.1397666091700032</v>
      </c>
    </row>
    <row r="64" spans="1:23">
      <c r="A64" s="1" t="s">
        <v>33</v>
      </c>
      <c r="B64" s="3">
        <v>45689</v>
      </c>
      <c r="C64" s="1" t="s">
        <v>27</v>
      </c>
      <c r="D64" s="1">
        <f>IF(C64="East",1,0)</f>
        <v>0</v>
      </c>
      <c r="E64" s="1">
        <f>IF(C64="West",1,0)</f>
        <v>1</v>
      </c>
      <c r="F64" s="1">
        <f>IF(C64="North",1,0)</f>
        <v>0</v>
      </c>
      <c r="G64" s="1" t="s">
        <v>16</v>
      </c>
      <c r="H64" s="1">
        <f>IF(G64="Residential",1,0)</f>
        <v>1</v>
      </c>
      <c r="I64" s="1">
        <f>IF(G64="High Street",1,0)</f>
        <v>0</v>
      </c>
      <c r="J64" s="1">
        <f>IF(G64="Mall",1,0)</f>
        <v>0</v>
      </c>
      <c r="K64" s="1">
        <v>63630.21</v>
      </c>
      <c r="L64" s="1">
        <v>4460</v>
      </c>
      <c r="M64" s="1">
        <v>0.23499999999999999</v>
      </c>
      <c r="N64" s="1">
        <v>14</v>
      </c>
      <c r="O64" s="1">
        <v>98.6</v>
      </c>
      <c r="P64" s="1">
        <v>5.52</v>
      </c>
      <c r="Q64" s="1">
        <v>0</v>
      </c>
      <c r="R64" s="1">
        <v>3.5</v>
      </c>
      <c r="S64" s="1">
        <v>599603.4</v>
      </c>
      <c r="T64" s="1">
        <v>112685.12</v>
      </c>
      <c r="U64">
        <f>146249.7963 + (33.6835738*L64) + (1.176703422*K64) + (3062.934007*O64) + (-39654.57312*H64) + (-22957.90276*I64) + (-11306.62502*J64)</f>
        <v>633703.1412677787</v>
      </c>
      <c r="V64">
        <f>S64-U64</f>
        <v>-34099.741267778678</v>
      </c>
      <c r="W64" s="30">
        <f>V64/S64*100</f>
        <v>-5.6870493509174027</v>
      </c>
    </row>
    <row r="65" spans="1:23">
      <c r="A65" s="1" t="s">
        <v>40</v>
      </c>
      <c r="B65" s="3">
        <v>45748</v>
      </c>
      <c r="C65" s="1" t="s">
        <v>15</v>
      </c>
      <c r="D65" s="1">
        <f>IF(C65="East",1,0)</f>
        <v>1</v>
      </c>
      <c r="E65" s="1">
        <f>IF(C65="West",1,0)</f>
        <v>0</v>
      </c>
      <c r="F65" s="1">
        <f>IF(C65="North",1,0)</f>
        <v>0</v>
      </c>
      <c r="G65" s="1" t="s">
        <v>16</v>
      </c>
      <c r="H65" s="1">
        <f>IF(G65="Residential",1,0)</f>
        <v>1</v>
      </c>
      <c r="I65" s="1">
        <f>IF(G65="High Street",1,0)</f>
        <v>0</v>
      </c>
      <c r="J65" s="1">
        <f>IF(G65="Mall",1,0)</f>
        <v>0</v>
      </c>
      <c r="K65" s="1">
        <v>58749.63</v>
      </c>
      <c r="L65" s="1">
        <v>8252</v>
      </c>
      <c r="M65" s="1">
        <v>0.20300000000000001</v>
      </c>
      <c r="N65" s="1">
        <v>20</v>
      </c>
      <c r="O65" s="1">
        <v>85.2</v>
      </c>
      <c r="P65" s="1">
        <v>3.61</v>
      </c>
      <c r="Q65" s="1">
        <v>0</v>
      </c>
      <c r="R65" s="1">
        <v>4.5</v>
      </c>
      <c r="S65" s="1">
        <v>680840.36</v>
      </c>
      <c r="T65" s="1">
        <v>68007.679999999993</v>
      </c>
      <c r="U65">
        <f>146249.7963 + (33.6835738*L65) + (1.176703422*K65) + (3062.934007*O65) + (-39654.57312*H65) + (-22957.90276*I65) + (-11306.62502*J65)</f>
        <v>714644.94223623385</v>
      </c>
      <c r="V65">
        <f>S65-U65</f>
        <v>-33804.582236233866</v>
      </c>
      <c r="W65" s="30">
        <f>V65/S65*100</f>
        <v>-4.9651260739351386</v>
      </c>
    </row>
    <row r="66" spans="1:23">
      <c r="A66" s="1" t="s">
        <v>39</v>
      </c>
      <c r="B66" s="3">
        <v>45689</v>
      </c>
      <c r="C66" s="1" t="s">
        <v>15</v>
      </c>
      <c r="D66" s="1">
        <f>IF(C66="East",1,0)</f>
        <v>1</v>
      </c>
      <c r="E66" s="1">
        <f>IF(C66="West",1,0)</f>
        <v>0</v>
      </c>
      <c r="F66" s="1">
        <f>IF(C66="North",1,0)</f>
        <v>0</v>
      </c>
      <c r="G66" s="1" t="s">
        <v>18</v>
      </c>
      <c r="H66" s="1">
        <f>IF(G66="Residential",1,0)</f>
        <v>0</v>
      </c>
      <c r="I66" s="1">
        <f>IF(G66="High Street",1,0)</f>
        <v>1</v>
      </c>
      <c r="J66" s="1">
        <f>IF(G66="Mall",1,0)</f>
        <v>0</v>
      </c>
      <c r="K66" s="1">
        <v>36813.449999999997</v>
      </c>
      <c r="L66" s="1">
        <v>2834</v>
      </c>
      <c r="M66" s="1">
        <v>0.191</v>
      </c>
      <c r="N66" s="1">
        <v>11</v>
      </c>
      <c r="O66" s="1">
        <v>81.8</v>
      </c>
      <c r="P66" s="1">
        <v>2.33</v>
      </c>
      <c r="Q66" s="1">
        <v>0</v>
      </c>
      <c r="R66" s="1">
        <v>3.3</v>
      </c>
      <c r="S66" s="1">
        <v>479050.5</v>
      </c>
      <c r="T66" s="1">
        <v>53651.11</v>
      </c>
      <c r="U66">
        <f>146249.7963 + (33.6835738*L66) + (1.176703422*K66) + (3062.934007*O66) + (-39654.57312*H66) + (-22957.90276*I66) + (-11306.62502*J66)</f>
        <v>512617.65605242579</v>
      </c>
      <c r="V66">
        <f>S66-U66</f>
        <v>-33567.156052425795</v>
      </c>
      <c r="W66" s="30">
        <f>V66/S66*100</f>
        <v>-7.007018268935278</v>
      </c>
    </row>
    <row r="67" spans="1:23">
      <c r="A67" s="1" t="s">
        <v>36</v>
      </c>
      <c r="B67" s="3">
        <v>45689</v>
      </c>
      <c r="C67" s="1" t="s">
        <v>15</v>
      </c>
      <c r="D67" s="1">
        <f>IF(C67="East",1,0)</f>
        <v>1</v>
      </c>
      <c r="E67" s="1">
        <f>IF(C67="West",1,0)</f>
        <v>0</v>
      </c>
      <c r="F67" s="1">
        <f>IF(C67="North",1,0)</f>
        <v>0</v>
      </c>
      <c r="G67" s="1" t="s">
        <v>21</v>
      </c>
      <c r="H67" s="1">
        <f>IF(G67="Residential",1,0)</f>
        <v>0</v>
      </c>
      <c r="I67" s="1">
        <f>IF(G67="High Street",1,0)</f>
        <v>0</v>
      </c>
      <c r="J67" s="1">
        <f>IF(G67="Mall",1,0)</f>
        <v>0</v>
      </c>
      <c r="K67" s="1">
        <v>59405.68</v>
      </c>
      <c r="L67" s="1">
        <v>2515</v>
      </c>
      <c r="M67" s="1">
        <v>3.9E-2</v>
      </c>
      <c r="N67" s="1">
        <v>12</v>
      </c>
      <c r="O67" s="1">
        <v>76</v>
      </c>
      <c r="P67" s="1">
        <v>5.1100000000000003</v>
      </c>
      <c r="Q67" s="1">
        <v>0</v>
      </c>
      <c r="R67" s="1">
        <v>3.7</v>
      </c>
      <c r="S67" s="1">
        <v>500298.48</v>
      </c>
      <c r="T67" s="1">
        <v>73461.320000000007</v>
      </c>
      <c r="U67">
        <f>146249.7963 + (33.6835738*L67) + (1.176703422*K67) + (3062.934007*O67) + (-39654.57312*H67) + (-22957.90276*I67) + (-11306.62502*J67)</f>
        <v>533649.83588123694</v>
      </c>
      <c r="V67">
        <f>S67-U67</f>
        <v>-33351.355881236959</v>
      </c>
      <c r="W67" s="30">
        <f>V67/S67*100</f>
        <v>-6.6662916667739953</v>
      </c>
    </row>
    <row r="68" spans="1:23">
      <c r="A68" s="1" t="s">
        <v>58</v>
      </c>
      <c r="B68" s="3">
        <v>45658</v>
      </c>
      <c r="C68" s="1" t="s">
        <v>20</v>
      </c>
      <c r="D68" s="1">
        <f>IF(C68="East",1,0)</f>
        <v>0</v>
      </c>
      <c r="E68" s="1">
        <f>IF(C68="West",1,0)</f>
        <v>0</v>
      </c>
      <c r="F68" s="1">
        <f>IF(C68="North",1,0)</f>
        <v>1</v>
      </c>
      <c r="G68" s="1" t="s">
        <v>16</v>
      </c>
      <c r="H68" s="1">
        <f>IF(G68="Residential",1,0)</f>
        <v>1</v>
      </c>
      <c r="I68" s="1">
        <f>IF(G68="High Street",1,0)</f>
        <v>0</v>
      </c>
      <c r="J68" s="1">
        <f>IF(G68="Mall",1,0)</f>
        <v>0</v>
      </c>
      <c r="K68" s="1">
        <v>70488.2</v>
      </c>
      <c r="L68" s="1">
        <v>4312</v>
      </c>
      <c r="M68" s="1">
        <v>0.16900000000000001</v>
      </c>
      <c r="N68" s="1">
        <v>12</v>
      </c>
      <c r="O68" s="1">
        <v>90.2</v>
      </c>
      <c r="P68" s="1">
        <v>3.71</v>
      </c>
      <c r="Q68" s="1">
        <v>0</v>
      </c>
      <c r="R68" s="1">
        <v>3.2</v>
      </c>
      <c r="S68" s="1">
        <v>577732.56999999995</v>
      </c>
      <c r="T68" s="1">
        <v>93804.27</v>
      </c>
      <c r="U68">
        <f>146249.7963 + (33.6835738*L68) + (1.176703422*K68) + (3062.934007*O68) + (-39654.57312*H68) + (-22957.90276*I68) + (-11306.62502*J68)</f>
        <v>611059.14698762039</v>
      </c>
      <c r="V68">
        <f>S68-U68</f>
        <v>-33326.576987620443</v>
      </c>
      <c r="W68" s="30">
        <f>V68/S68*100</f>
        <v>-5.768512754546701</v>
      </c>
    </row>
    <row r="69" spans="1:23">
      <c r="A69" s="1" t="s">
        <v>95</v>
      </c>
      <c r="B69" s="3">
        <v>45658</v>
      </c>
      <c r="C69" s="1" t="s">
        <v>27</v>
      </c>
      <c r="D69" s="1">
        <f>IF(C69="East",1,0)</f>
        <v>0</v>
      </c>
      <c r="E69" s="1">
        <f>IF(C69="West",1,0)</f>
        <v>1</v>
      </c>
      <c r="F69" s="1">
        <f>IF(C69="North",1,0)</f>
        <v>0</v>
      </c>
      <c r="G69" s="1" t="s">
        <v>18</v>
      </c>
      <c r="H69" s="1">
        <f>IF(G69="Residential",1,0)</f>
        <v>0</v>
      </c>
      <c r="I69" s="1">
        <f>IF(G69="High Street",1,0)</f>
        <v>1</v>
      </c>
      <c r="J69" s="1">
        <f>IF(G69="Mall",1,0)</f>
        <v>0</v>
      </c>
      <c r="K69" s="1">
        <v>51996.32</v>
      </c>
      <c r="L69" s="1">
        <v>3834</v>
      </c>
      <c r="M69" s="1">
        <v>9.6000000000000002E-2</v>
      </c>
      <c r="N69" s="1">
        <v>8</v>
      </c>
      <c r="O69" s="1">
        <v>86.7</v>
      </c>
      <c r="P69" s="1">
        <v>6.04</v>
      </c>
      <c r="Q69" s="1">
        <v>0</v>
      </c>
      <c r="R69" s="1">
        <v>4.5</v>
      </c>
      <c r="S69" s="1">
        <v>546223.69999999995</v>
      </c>
      <c r="T69" s="1">
        <v>100769.17</v>
      </c>
      <c r="U69">
        <f>146249.7963 + (33.6835738*L69) + (1.176703422*K69) + (3062.934007*O69) + (-39654.57312*H69) + (-22957.90276*I69) + (-11306.62502*J69)</f>
        <v>579175.34157150704</v>
      </c>
      <c r="V69">
        <f>S69-U69</f>
        <v>-32951.641571507091</v>
      </c>
      <c r="W69" s="30">
        <f>V69/S69*100</f>
        <v>-6.0326275794161059</v>
      </c>
    </row>
    <row r="70" spans="1:23">
      <c r="A70" s="1" t="s">
        <v>100</v>
      </c>
      <c r="B70" s="3">
        <v>45689</v>
      </c>
      <c r="C70" s="1" t="s">
        <v>20</v>
      </c>
      <c r="D70" s="1">
        <f>IF(C70="East",1,0)</f>
        <v>0</v>
      </c>
      <c r="E70" s="1">
        <f>IF(C70="West",1,0)</f>
        <v>0</v>
      </c>
      <c r="F70" s="1">
        <f>IF(C70="North",1,0)</f>
        <v>1</v>
      </c>
      <c r="G70" s="1" t="s">
        <v>16</v>
      </c>
      <c r="H70" s="1">
        <f>IF(G70="Residential",1,0)</f>
        <v>1</v>
      </c>
      <c r="I70" s="1">
        <f>IF(G70="High Street",1,0)</f>
        <v>0</v>
      </c>
      <c r="J70" s="1">
        <f>IF(G70="Mall",1,0)</f>
        <v>0</v>
      </c>
      <c r="K70" s="1">
        <v>46767.99</v>
      </c>
      <c r="L70" s="1">
        <v>7973</v>
      </c>
      <c r="M70" s="1">
        <v>0.183</v>
      </c>
      <c r="N70" s="1">
        <v>18</v>
      </c>
      <c r="O70" s="1">
        <v>94.8</v>
      </c>
      <c r="P70" s="1">
        <v>4.67</v>
      </c>
      <c r="Q70" s="1">
        <v>0</v>
      </c>
      <c r="R70" s="1">
        <v>3.92</v>
      </c>
      <c r="S70" s="1">
        <v>688368.46</v>
      </c>
      <c r="T70" s="1">
        <v>93588.42</v>
      </c>
      <c r="U70">
        <f>146249.7963 + (33.6835738*L70) + (1.176703422*K70) + (3062.934007*O70) + (-39654.57312*H70) + (-22957.90276*I70) + (-11306.62502*J70)</f>
        <v>720552.55482406181</v>
      </c>
      <c r="V70">
        <f>S70-U70</f>
        <v>-32184.094824061845</v>
      </c>
      <c r="W70" s="30">
        <f>V70/S70*100</f>
        <v>-4.6754168289555054</v>
      </c>
    </row>
    <row r="71" spans="1:23">
      <c r="A71" s="1" t="s">
        <v>72</v>
      </c>
      <c r="B71" s="3">
        <v>45658</v>
      </c>
      <c r="C71" s="1" t="s">
        <v>15</v>
      </c>
      <c r="D71" s="1">
        <f>IF(C71="East",1,0)</f>
        <v>1</v>
      </c>
      <c r="E71" s="1">
        <f>IF(C71="West",1,0)</f>
        <v>0</v>
      </c>
      <c r="F71" s="1">
        <f>IF(C71="North",1,0)</f>
        <v>0</v>
      </c>
      <c r="G71" s="1" t="s">
        <v>21</v>
      </c>
      <c r="H71" s="1">
        <f>IF(G71="Residential",1,0)</f>
        <v>0</v>
      </c>
      <c r="I71" s="1">
        <f>IF(G71="High Street",1,0)</f>
        <v>0</v>
      </c>
      <c r="J71" s="1">
        <f>IF(G71="Mall",1,0)</f>
        <v>0</v>
      </c>
      <c r="K71" s="1">
        <v>22312.93</v>
      </c>
      <c r="L71" s="1">
        <v>5955</v>
      </c>
      <c r="M71" s="1">
        <v>0.123</v>
      </c>
      <c r="N71" s="1">
        <v>13</v>
      </c>
      <c r="O71" s="1">
        <v>84.2</v>
      </c>
      <c r="P71" s="1">
        <v>0.41</v>
      </c>
      <c r="Q71" s="1">
        <v>1</v>
      </c>
      <c r="R71" s="1">
        <v>4.5999999999999996</v>
      </c>
      <c r="S71" s="1">
        <v>598904.9</v>
      </c>
      <c r="T71" s="1">
        <v>72861</v>
      </c>
      <c r="U71">
        <f>146249.7963 + (33.6835738*L71) + (1.176703422*K71) + (3062.934007*O71) + (-39654.57312*H71) + (-22957.90276*I71) + (-11306.62502*J71)</f>
        <v>630990.22275424644</v>
      </c>
      <c r="V71">
        <f>S71-U71</f>
        <v>-32085.322754246416</v>
      </c>
      <c r="W71" s="30">
        <f>V71/S71*100</f>
        <v>-5.3573318158269227</v>
      </c>
    </row>
    <row r="72" spans="1:23">
      <c r="A72" s="1" t="s">
        <v>101</v>
      </c>
      <c r="B72" s="3">
        <v>45748</v>
      </c>
      <c r="C72" s="1" t="s">
        <v>15</v>
      </c>
      <c r="D72" s="1">
        <f>IF(C72="East",1,0)</f>
        <v>1</v>
      </c>
      <c r="E72" s="1">
        <f>IF(C72="West",1,0)</f>
        <v>0</v>
      </c>
      <c r="F72" s="1">
        <f>IF(C72="North",1,0)</f>
        <v>0</v>
      </c>
      <c r="G72" s="1" t="s">
        <v>16</v>
      </c>
      <c r="H72" s="1">
        <f>IF(G72="Residential",1,0)</f>
        <v>1</v>
      </c>
      <c r="I72" s="1">
        <f>IF(G72="High Street",1,0)</f>
        <v>0</v>
      </c>
      <c r="J72" s="1">
        <f>IF(G72="Mall",1,0)</f>
        <v>0</v>
      </c>
      <c r="K72" s="1">
        <v>40553.11</v>
      </c>
      <c r="L72" s="1">
        <v>5317</v>
      </c>
      <c r="M72" s="1">
        <v>0.16500000000000001</v>
      </c>
      <c r="N72" s="1">
        <v>17</v>
      </c>
      <c r="O72" s="1">
        <v>84.3</v>
      </c>
      <c r="P72" s="1">
        <v>11.82</v>
      </c>
      <c r="Q72" s="1">
        <v>0</v>
      </c>
      <c r="R72" s="1">
        <v>4.0999999999999996</v>
      </c>
      <c r="S72" s="1">
        <v>559660.84</v>
      </c>
      <c r="T72" s="1">
        <v>71443.61</v>
      </c>
      <c r="U72">
        <f>146249.7963 + (33.6835738*L72) + (1.176703422*K72) + (3062.934007*O72) + (-39654.57312*H72) + (-22957.90276*I72) + (-11306.62502*J72)</f>
        <v>591615.1051744424</v>
      </c>
      <c r="V72">
        <f>S72-U72</f>
        <v>-31954.265174442437</v>
      </c>
      <c r="W72" s="30">
        <f>V72/S72*100</f>
        <v>-5.7095767455236706</v>
      </c>
    </row>
    <row r="73" spans="1:23">
      <c r="A73" s="1" t="s">
        <v>43</v>
      </c>
      <c r="B73" s="3">
        <v>45689</v>
      </c>
      <c r="C73" s="1" t="s">
        <v>27</v>
      </c>
      <c r="D73" s="1">
        <f>IF(C73="East",1,0)</f>
        <v>0</v>
      </c>
      <c r="E73" s="1">
        <f>IF(C73="West",1,0)</f>
        <v>1</v>
      </c>
      <c r="F73" s="1">
        <f>IF(C73="North",1,0)</f>
        <v>0</v>
      </c>
      <c r="G73" s="1" t="s">
        <v>18</v>
      </c>
      <c r="H73" s="1">
        <f>IF(G73="Residential",1,0)</f>
        <v>0</v>
      </c>
      <c r="I73" s="1">
        <f>IF(G73="High Street",1,0)</f>
        <v>1</v>
      </c>
      <c r="J73" s="1">
        <f>IF(G73="Mall",1,0)</f>
        <v>0</v>
      </c>
      <c r="K73" s="1">
        <v>88443.77</v>
      </c>
      <c r="L73" s="1">
        <v>4004</v>
      </c>
      <c r="M73" s="1">
        <v>0.20599999999999999</v>
      </c>
      <c r="N73" s="1">
        <v>11</v>
      </c>
      <c r="O73" s="1">
        <v>91.9</v>
      </c>
      <c r="P73" s="1">
        <v>5.95</v>
      </c>
      <c r="Q73" s="1">
        <v>0</v>
      </c>
      <c r="R73" s="1">
        <v>3.92</v>
      </c>
      <c r="S73" s="1">
        <v>611766.72</v>
      </c>
      <c r="T73" s="1">
        <v>88275.61</v>
      </c>
      <c r="U73">
        <f>146249.7963 + (33.6835738*L73) + (1.176703422*K73) + (3062.934007*O73) + (-39654.57312*H73) + (-22957.90276*I73) + (-11306.62502*J73)</f>
        <v>643716.64509208093</v>
      </c>
      <c r="V73">
        <f>S73-U73</f>
        <v>-31949.925092080957</v>
      </c>
      <c r="W73" s="30">
        <f>V73/S73*100</f>
        <v>-5.222566714985895</v>
      </c>
    </row>
    <row r="74" spans="1:23">
      <c r="A74" s="1" t="s">
        <v>59</v>
      </c>
      <c r="B74" s="3">
        <v>45658</v>
      </c>
      <c r="C74" s="1" t="s">
        <v>24</v>
      </c>
      <c r="D74" s="1">
        <f>IF(C74="East",1,0)</f>
        <v>0</v>
      </c>
      <c r="E74" s="1">
        <f>IF(C74="West",1,0)</f>
        <v>0</v>
      </c>
      <c r="F74" s="1">
        <f>IF(C74="North",1,0)</f>
        <v>0</v>
      </c>
      <c r="G74" s="1" t="s">
        <v>28</v>
      </c>
      <c r="H74" s="1">
        <f>IF(G74="Residential",1,0)</f>
        <v>0</v>
      </c>
      <c r="I74" s="1">
        <f>IF(G74="High Street",1,0)</f>
        <v>0</v>
      </c>
      <c r="J74" s="1">
        <f>IF(G74="Mall",1,0)</f>
        <v>1</v>
      </c>
      <c r="K74" s="1">
        <v>51575.68</v>
      </c>
      <c r="L74" s="1">
        <v>5329</v>
      </c>
      <c r="M74" s="1">
        <v>4.7E-2</v>
      </c>
      <c r="N74" s="1">
        <v>17</v>
      </c>
      <c r="O74" s="1">
        <v>88.1</v>
      </c>
      <c r="P74" s="1">
        <v>19.78</v>
      </c>
      <c r="Q74" s="1">
        <v>0</v>
      </c>
      <c r="R74" s="1">
        <v>3.8</v>
      </c>
      <c r="S74" s="1">
        <v>614024.91</v>
      </c>
      <c r="T74" s="1">
        <v>84828.93</v>
      </c>
      <c r="U74">
        <f>146249.7963 + (33.6835738*L74) + (1.176703422*K74) + (3062.934007*O74) + (-39654.57312*H74) + (-22957.90276*I74) + (-11306.62502*J74)</f>
        <v>644976.70122487692</v>
      </c>
      <c r="V74">
        <f>S74-U74</f>
        <v>-30951.791224876884</v>
      </c>
      <c r="W74" s="30">
        <f>V74/S74*100</f>
        <v>-5.0408038372379522</v>
      </c>
    </row>
    <row r="75" spans="1:23">
      <c r="A75" s="1" t="s">
        <v>63</v>
      </c>
      <c r="B75" s="3">
        <v>45689</v>
      </c>
      <c r="C75" s="1" t="s">
        <v>20</v>
      </c>
      <c r="D75" s="1">
        <f>IF(C75="East",1,0)</f>
        <v>0</v>
      </c>
      <c r="E75" s="1">
        <f>IF(C75="West",1,0)</f>
        <v>0</v>
      </c>
      <c r="F75" s="1">
        <f>IF(C75="North",1,0)</f>
        <v>1</v>
      </c>
      <c r="G75" s="1" t="s">
        <v>28</v>
      </c>
      <c r="H75" s="1">
        <f>IF(G75="Residential",1,0)</f>
        <v>0</v>
      </c>
      <c r="I75" s="1">
        <f>IF(G75="High Street",1,0)</f>
        <v>0</v>
      </c>
      <c r="J75" s="1">
        <f>IF(G75="Mall",1,0)</f>
        <v>1</v>
      </c>
      <c r="K75" s="1">
        <v>35303.300000000003</v>
      </c>
      <c r="L75" s="1">
        <v>8789</v>
      </c>
      <c r="M75" s="1">
        <v>0.123</v>
      </c>
      <c r="N75" s="1">
        <v>22</v>
      </c>
      <c r="O75" s="1">
        <v>86.1</v>
      </c>
      <c r="P75" s="1">
        <v>9.43</v>
      </c>
      <c r="Q75" s="1">
        <v>0</v>
      </c>
      <c r="R75" s="1">
        <v>4.2</v>
      </c>
      <c r="S75" s="1">
        <v>706285.52</v>
      </c>
      <c r="T75" s="1">
        <v>138014.72</v>
      </c>
      <c r="U75">
        <f>146249.7963 + (33.6835738*L75) + (1.176703422*K75) + (3062.934007*O75) + (-39654.57312*H75) + (-22957.90276*I75) + (-11306.62502*J75)</f>
        <v>736248.2333287925</v>
      </c>
      <c r="V75">
        <f>S75-U75</f>
        <v>-29962.713328792481</v>
      </c>
      <c r="W75" s="30">
        <f>V75/S75*100</f>
        <v>-4.2422947208081627</v>
      </c>
    </row>
    <row r="76" spans="1:23">
      <c r="A76" s="1" t="s">
        <v>41</v>
      </c>
      <c r="B76" s="3">
        <v>45748</v>
      </c>
      <c r="C76" s="1" t="s">
        <v>24</v>
      </c>
      <c r="D76" s="1">
        <f>IF(C76="East",1,0)</f>
        <v>0</v>
      </c>
      <c r="E76" s="1">
        <f>IF(C76="West",1,0)</f>
        <v>0</v>
      </c>
      <c r="F76" s="1">
        <f>IF(C76="North",1,0)</f>
        <v>0</v>
      </c>
      <c r="G76" s="1" t="s">
        <v>18</v>
      </c>
      <c r="H76" s="1">
        <f>IF(G76="Residential",1,0)</f>
        <v>0</v>
      </c>
      <c r="I76" s="1">
        <f>IF(G76="High Street",1,0)</f>
        <v>1</v>
      </c>
      <c r="J76" s="1">
        <f>IF(G76="Mall",1,0)</f>
        <v>0</v>
      </c>
      <c r="K76" s="1">
        <v>77999.899999999994</v>
      </c>
      <c r="L76" s="1">
        <v>5974</v>
      </c>
      <c r="M76" s="1">
        <v>0.252</v>
      </c>
      <c r="N76" s="1">
        <v>14</v>
      </c>
      <c r="O76" s="1">
        <v>81.3</v>
      </c>
      <c r="P76" s="1">
        <v>2.39</v>
      </c>
      <c r="Q76" s="1">
        <v>0</v>
      </c>
      <c r="R76" s="1">
        <v>3.2</v>
      </c>
      <c r="S76" s="1">
        <v>636561.34</v>
      </c>
      <c r="T76" s="1">
        <v>93861.06</v>
      </c>
      <c r="U76">
        <f>146249.7963 + (33.6835738*L76) + (1.176703422*K76) + (3062.934007*O76) + (-39654.57312*H76) + (-22957.90276*I76) + (-11306.62502*J76)</f>
        <v>665316.84743595787</v>
      </c>
      <c r="V76">
        <f>S76-U76</f>
        <v>-28755.507435957901</v>
      </c>
      <c r="W76" s="30">
        <f>V76/S76*100</f>
        <v>-4.5173191692662176</v>
      </c>
    </row>
    <row r="77" spans="1:23">
      <c r="A77" s="1" t="s">
        <v>65</v>
      </c>
      <c r="B77" s="3">
        <v>45689</v>
      </c>
      <c r="C77" s="1" t="s">
        <v>15</v>
      </c>
      <c r="D77" s="1">
        <f>IF(C77="East",1,0)</f>
        <v>1</v>
      </c>
      <c r="E77" s="1">
        <f>IF(C77="West",1,0)</f>
        <v>0</v>
      </c>
      <c r="F77" s="1">
        <f>IF(C77="North",1,0)</f>
        <v>0</v>
      </c>
      <c r="G77" s="1" t="s">
        <v>16</v>
      </c>
      <c r="H77" s="1">
        <f>IF(G77="Residential",1,0)</f>
        <v>1</v>
      </c>
      <c r="I77" s="1">
        <f>IF(G77="High Street",1,0)</f>
        <v>0</v>
      </c>
      <c r="J77" s="1">
        <f>IF(G77="Mall",1,0)</f>
        <v>0</v>
      </c>
      <c r="K77" s="1">
        <v>43645.98</v>
      </c>
      <c r="L77" s="1">
        <v>9480</v>
      </c>
      <c r="M77" s="1">
        <v>0.109</v>
      </c>
      <c r="N77" s="1">
        <v>22</v>
      </c>
      <c r="O77" s="1">
        <v>89</v>
      </c>
      <c r="P77" s="1">
        <v>2.11</v>
      </c>
      <c r="Q77" s="1">
        <v>0</v>
      </c>
      <c r="R77" s="1">
        <v>3.1</v>
      </c>
      <c r="S77" s="1">
        <v>721364.11</v>
      </c>
      <c r="T77" s="1">
        <v>147272.81</v>
      </c>
      <c r="U77">
        <f>146249.7963 + (33.6835738*L77) + (1.176703422*K77) + (3062.934007*O77) + (-39654.57312*H77) + (-22957.90276*I77) + (-11306.62502*J77)</f>
        <v>749875.0034495435</v>
      </c>
      <c r="V77">
        <f>S77-U77</f>
        <v>-28510.89344954351</v>
      </c>
      <c r="W77" s="30">
        <f>V77/S77*100</f>
        <v>-3.9523581855969394</v>
      </c>
    </row>
    <row r="78" spans="1:23">
      <c r="A78" s="1" t="s">
        <v>49</v>
      </c>
      <c r="B78" s="3">
        <v>45717</v>
      </c>
      <c r="C78" s="1" t="s">
        <v>15</v>
      </c>
      <c r="D78" s="1">
        <f>IF(C78="East",1,0)</f>
        <v>1</v>
      </c>
      <c r="E78" s="1">
        <f>IF(C78="West",1,0)</f>
        <v>0</v>
      </c>
      <c r="F78" s="1">
        <f>IF(C78="North",1,0)</f>
        <v>0</v>
      </c>
      <c r="G78" s="1" t="s">
        <v>28</v>
      </c>
      <c r="H78" s="1">
        <f>IF(G78="Residential",1,0)</f>
        <v>0</v>
      </c>
      <c r="I78" s="1">
        <f>IF(G78="High Street",1,0)</f>
        <v>0</v>
      </c>
      <c r="J78" s="1">
        <f>IF(G78="Mall",1,0)</f>
        <v>1</v>
      </c>
      <c r="K78" s="1">
        <v>51056.15</v>
      </c>
      <c r="L78" s="1">
        <v>5686</v>
      </c>
      <c r="M78" s="1">
        <v>8.8999999999999996E-2</v>
      </c>
      <c r="N78" s="1">
        <v>13</v>
      </c>
      <c r="O78" s="1">
        <v>89.9</v>
      </c>
      <c r="P78" s="1">
        <v>1.28</v>
      </c>
      <c r="Q78" s="1">
        <v>0</v>
      </c>
      <c r="R78" s="1">
        <v>4.2</v>
      </c>
      <c r="S78" s="1">
        <v>633494.21</v>
      </c>
      <c r="T78" s="1">
        <v>105739.47</v>
      </c>
      <c r="U78">
        <f>146249.7963 + (33.6835738*L78) + (1.176703422*K78) + (3062.934007*O78) + (-39654.57312*H78) + (-22957.90276*I78) + (-11306.62502*J78)</f>
        <v>661903.68555524526</v>
      </c>
      <c r="V78">
        <f>S78-U78</f>
        <v>-28409.475555245299</v>
      </c>
      <c r="W78" s="30">
        <f>V78/S78*100</f>
        <v>-4.4845675156597409</v>
      </c>
    </row>
    <row r="79" spans="1:23">
      <c r="A79" s="1" t="s">
        <v>97</v>
      </c>
      <c r="B79" s="3">
        <v>45658</v>
      </c>
      <c r="C79" s="1" t="s">
        <v>20</v>
      </c>
      <c r="D79" s="1">
        <f>IF(C79="East",1,0)</f>
        <v>0</v>
      </c>
      <c r="E79" s="1">
        <f>IF(C79="West",1,0)</f>
        <v>0</v>
      </c>
      <c r="F79" s="1">
        <f>IF(C79="North",1,0)</f>
        <v>1</v>
      </c>
      <c r="G79" s="1" t="s">
        <v>28</v>
      </c>
      <c r="H79" s="1">
        <f>IF(G79="Residential",1,0)</f>
        <v>0</v>
      </c>
      <c r="I79" s="1">
        <f>IF(G79="High Street",1,0)</f>
        <v>0</v>
      </c>
      <c r="J79" s="1">
        <f>IF(G79="Mall",1,0)</f>
        <v>1</v>
      </c>
      <c r="K79" s="1">
        <v>40647.67</v>
      </c>
      <c r="L79" s="1">
        <v>8252</v>
      </c>
      <c r="M79" s="1">
        <v>0.14099999999999999</v>
      </c>
      <c r="N79" s="1">
        <v>22</v>
      </c>
      <c r="O79" s="1">
        <v>88.2</v>
      </c>
      <c r="P79" s="1">
        <v>5.07</v>
      </c>
      <c r="Q79" s="1">
        <v>1</v>
      </c>
      <c r="R79" s="1">
        <v>4.0999999999999996</v>
      </c>
      <c r="S79" s="1">
        <v>703812.99</v>
      </c>
      <c r="T79" s="1">
        <v>133577.98000000001</v>
      </c>
      <c r="U79">
        <f>146249.7963 + (33.6835738*L79) + (1.176703422*K79) + (3062.934007*O79) + (-39654.57312*H79) + (-22957.90276*I79) + (-11306.62502*J79)</f>
        <v>730881.05408032669</v>
      </c>
      <c r="V79">
        <f>S79-U79</f>
        <v>-27068.064080326702</v>
      </c>
      <c r="W79" s="30">
        <f>V79/S79*100</f>
        <v>-3.8459170923126473</v>
      </c>
    </row>
    <row r="80" spans="1:23">
      <c r="A80" s="1" t="s">
        <v>94</v>
      </c>
      <c r="B80" s="3">
        <v>45689</v>
      </c>
      <c r="C80" s="1" t="s">
        <v>15</v>
      </c>
      <c r="D80" s="1">
        <f>IF(C80="East",1,0)</f>
        <v>1</v>
      </c>
      <c r="E80" s="1">
        <f>IF(C80="West",1,0)</f>
        <v>0</v>
      </c>
      <c r="F80" s="1">
        <f>IF(C80="North",1,0)</f>
        <v>0</v>
      </c>
      <c r="G80" s="1" t="s">
        <v>16</v>
      </c>
      <c r="H80" s="1">
        <f>IF(G80="Residential",1,0)</f>
        <v>1</v>
      </c>
      <c r="I80" s="1">
        <f>IF(G80="High Street",1,0)</f>
        <v>0</v>
      </c>
      <c r="J80" s="1">
        <f>IF(G80="Mall",1,0)</f>
        <v>0</v>
      </c>
      <c r="K80" s="1">
        <v>68909.259999999995</v>
      </c>
      <c r="L80" s="1">
        <v>7794</v>
      </c>
      <c r="M80" s="1">
        <v>0.28399999999999997</v>
      </c>
      <c r="N80" s="1">
        <v>22</v>
      </c>
      <c r="O80" s="1">
        <v>89</v>
      </c>
      <c r="P80" s="1">
        <v>0.33</v>
      </c>
      <c r="Q80" s="1">
        <v>0</v>
      </c>
      <c r="R80" s="1">
        <v>4</v>
      </c>
      <c r="S80" s="1">
        <v>696261.49</v>
      </c>
      <c r="T80" s="1">
        <v>72455.350000000006</v>
      </c>
      <c r="U80">
        <f>146249.7963 + (33.6835738*L80) + (1.176703422*K80) + (3062.934007*O80) + (-39654.57312*H80) + (-22957.90276*I80) + (-11306.62502*J80)</f>
        <v>722811.88604968775</v>
      </c>
      <c r="V80">
        <f>S80-U80</f>
        <v>-26550.396049687755</v>
      </c>
      <c r="W80" s="30">
        <f>V80/S80*100</f>
        <v>-3.813279411688812</v>
      </c>
    </row>
    <row r="81" spans="1:23">
      <c r="A81" s="1" t="s">
        <v>19</v>
      </c>
      <c r="B81" s="3">
        <v>45689</v>
      </c>
      <c r="C81" s="1" t="s">
        <v>20</v>
      </c>
      <c r="D81" s="1">
        <f>IF(C81="East",1,0)</f>
        <v>0</v>
      </c>
      <c r="E81" s="1">
        <f>IF(C81="West",1,0)</f>
        <v>0</v>
      </c>
      <c r="F81" s="1">
        <f>IF(C81="North",1,0)</f>
        <v>1</v>
      </c>
      <c r="G81" s="1" t="s">
        <v>21</v>
      </c>
      <c r="H81" s="1">
        <f>IF(G81="Residential",1,0)</f>
        <v>0</v>
      </c>
      <c r="I81" s="1">
        <f>IF(G81="High Street",1,0)</f>
        <v>0</v>
      </c>
      <c r="J81" s="1">
        <f>IF(G81="Mall",1,0)</f>
        <v>0</v>
      </c>
      <c r="K81" s="1">
        <v>68133.440000000002</v>
      </c>
      <c r="L81" s="1">
        <v>9459</v>
      </c>
      <c r="M81" s="1">
        <v>0.22</v>
      </c>
      <c r="N81" s="1">
        <v>21</v>
      </c>
      <c r="O81" s="1">
        <v>85</v>
      </c>
      <c r="P81" s="1">
        <v>1.91</v>
      </c>
      <c r="Q81" s="1">
        <v>0</v>
      </c>
      <c r="R81" s="1">
        <v>4.2</v>
      </c>
      <c r="S81" s="1">
        <v>779010.94</v>
      </c>
      <c r="T81" s="1">
        <v>106328.09</v>
      </c>
      <c r="U81">
        <f>146249.7963 + (33.6835738*L81) + (1.176703422*K81) + (3062.934007*O81) + (-39654.57312*H81) + (-22957.90276*I81) + (-11306.62502*J81)</f>
        <v>805384.96346983174</v>
      </c>
      <c r="V81">
        <f>S81-U81</f>
        <v>-26374.023469831795</v>
      </c>
      <c r="W81" s="30">
        <f>V81/S81*100</f>
        <v>-3.3855780600246508</v>
      </c>
    </row>
    <row r="82" spans="1:23">
      <c r="A82" s="1" t="s">
        <v>73</v>
      </c>
      <c r="B82" s="3">
        <v>45658</v>
      </c>
      <c r="C82" s="1" t="s">
        <v>15</v>
      </c>
      <c r="D82" s="1">
        <f>IF(C82="East",1,0)</f>
        <v>1</v>
      </c>
      <c r="E82" s="1">
        <f>IF(C82="West",1,0)</f>
        <v>0</v>
      </c>
      <c r="F82" s="1">
        <f>IF(C82="North",1,0)</f>
        <v>0</v>
      </c>
      <c r="G82" s="1" t="s">
        <v>28</v>
      </c>
      <c r="H82" s="1">
        <f>IF(G82="Residential",1,0)</f>
        <v>0</v>
      </c>
      <c r="I82" s="1">
        <f>IF(G82="High Street",1,0)</f>
        <v>0</v>
      </c>
      <c r="J82" s="1">
        <f>IF(G82="Mall",1,0)</f>
        <v>1</v>
      </c>
      <c r="K82" s="1">
        <v>92090.14</v>
      </c>
      <c r="L82" s="1">
        <v>9476</v>
      </c>
      <c r="M82" s="1">
        <v>7.0000000000000007E-2</v>
      </c>
      <c r="N82" s="1">
        <v>24</v>
      </c>
      <c r="O82" s="1">
        <v>94.3</v>
      </c>
      <c r="P82" s="1">
        <v>0.87</v>
      </c>
      <c r="Q82" s="1">
        <v>0</v>
      </c>
      <c r="R82" s="1">
        <v>3.7</v>
      </c>
      <c r="S82" s="1">
        <v>825060.52</v>
      </c>
      <c r="T82" s="1">
        <v>143613.15</v>
      </c>
      <c r="U82">
        <f>146249.7963 + (33.6835738*L82) + (1.176703422*K82) + (3062.934007*O82) + (-39654.57312*H82) + (-22957.90276*I82) + (-11306.62502*J82)</f>
        <v>851326.17633935891</v>
      </c>
      <c r="V82">
        <f>S82-U82</f>
        <v>-26265.656339358888</v>
      </c>
      <c r="W82" s="30">
        <f>V82/S82*100</f>
        <v>-3.1834823873718845</v>
      </c>
    </row>
    <row r="83" spans="1:23">
      <c r="A83" s="1" t="s">
        <v>26</v>
      </c>
      <c r="B83" s="3">
        <v>45658</v>
      </c>
      <c r="C83" s="1" t="s">
        <v>27</v>
      </c>
      <c r="D83" s="1">
        <f>IF(C83="East",1,0)</f>
        <v>0</v>
      </c>
      <c r="E83" s="1">
        <f>IF(C83="West",1,0)</f>
        <v>1</v>
      </c>
      <c r="F83" s="1">
        <f>IF(C83="North",1,0)</f>
        <v>0</v>
      </c>
      <c r="G83" s="1" t="s">
        <v>28</v>
      </c>
      <c r="H83" s="1">
        <f>IF(G83="Residential",1,0)</f>
        <v>0</v>
      </c>
      <c r="I83" s="1">
        <f>IF(G83="High Street",1,0)</f>
        <v>0</v>
      </c>
      <c r="J83" s="1">
        <f>IF(G83="Mall",1,0)</f>
        <v>1</v>
      </c>
      <c r="K83" s="1">
        <v>57696.69</v>
      </c>
      <c r="L83" s="1">
        <v>10218</v>
      </c>
      <c r="M83" s="1">
        <v>0.121</v>
      </c>
      <c r="N83" s="1">
        <v>25</v>
      </c>
      <c r="O83" s="1">
        <v>94.8</v>
      </c>
      <c r="P83" s="1">
        <v>2.99</v>
      </c>
      <c r="Q83" s="1">
        <v>0</v>
      </c>
      <c r="R83" s="1">
        <v>3.5</v>
      </c>
      <c r="S83" s="1">
        <v>811771.14</v>
      </c>
      <c r="T83" s="1">
        <v>148756.24</v>
      </c>
      <c r="U83">
        <f>146249.7963 + (33.6835738*L83) + (1.176703422*K83) + (3062.934007*O83) + (-39654.57312*H83) + (-22957.90276*I83) + (-11306.62502*J83)</f>
        <v>837379.96479307313</v>
      </c>
      <c r="V83">
        <f>S83-U83</f>
        <v>-25608.824793073116</v>
      </c>
      <c r="W83" s="30">
        <f>V83/S83*100</f>
        <v>-3.1546852962859848</v>
      </c>
    </row>
    <row r="84" spans="1:23">
      <c r="A84" s="1" t="s">
        <v>17</v>
      </c>
      <c r="B84" s="3">
        <v>45689</v>
      </c>
      <c r="C84" s="1" t="s">
        <v>15</v>
      </c>
      <c r="D84" s="1">
        <f>IF(C84="East",1,0)</f>
        <v>1</v>
      </c>
      <c r="E84" s="1">
        <f>IF(C84="West",1,0)</f>
        <v>0</v>
      </c>
      <c r="F84" s="1">
        <f>IF(C84="North",1,0)</f>
        <v>0</v>
      </c>
      <c r="G84" s="1" t="s">
        <v>18</v>
      </c>
      <c r="H84" s="1">
        <f>IF(G84="Residential",1,0)</f>
        <v>0</v>
      </c>
      <c r="I84" s="1">
        <f>IF(G84="High Street",1,0)</f>
        <v>1</v>
      </c>
      <c r="J84" s="1">
        <f>IF(G84="Mall",1,0)</f>
        <v>0</v>
      </c>
      <c r="K84" s="1">
        <v>64811.21</v>
      </c>
      <c r="L84" s="1">
        <v>9792</v>
      </c>
      <c r="M84" s="1">
        <v>0.112</v>
      </c>
      <c r="N84" s="1">
        <v>20</v>
      </c>
      <c r="O84" s="1">
        <v>84.2</v>
      </c>
      <c r="P84" s="1">
        <v>2.88</v>
      </c>
      <c r="Q84" s="1">
        <v>0</v>
      </c>
      <c r="R84" s="1">
        <v>4.2</v>
      </c>
      <c r="S84" s="1">
        <v>761835.34</v>
      </c>
      <c r="T84" s="1">
        <v>149602.23000000001</v>
      </c>
      <c r="U84">
        <f>146249.7963 + (33.6835738*L84) + (1.176703422*K84) + (3062.934007*O84) + (-39654.57312*H84) + (-22957.90276*I84) + (-11306.62502*J84)</f>
        <v>787284.06416996068</v>
      </c>
      <c r="V84">
        <f>S84-U84</f>
        <v>-25448.724169960711</v>
      </c>
      <c r="W84" s="30">
        <f>V84/S84*100</f>
        <v>-3.3404494165314929</v>
      </c>
    </row>
    <row r="85" spans="1:23">
      <c r="A85" s="1" t="s">
        <v>69</v>
      </c>
      <c r="B85" s="3">
        <v>45717</v>
      </c>
      <c r="C85" s="1" t="s">
        <v>15</v>
      </c>
      <c r="D85" s="1">
        <f>IF(C85="East",1,0)</f>
        <v>1</v>
      </c>
      <c r="E85" s="1">
        <f>IF(C85="West",1,0)</f>
        <v>0</v>
      </c>
      <c r="F85" s="1">
        <f>IF(C85="North",1,0)</f>
        <v>0</v>
      </c>
      <c r="G85" s="1" t="s">
        <v>18</v>
      </c>
      <c r="H85" s="1">
        <f>IF(G85="Residential",1,0)</f>
        <v>0</v>
      </c>
      <c r="I85" s="1">
        <f>IF(G85="High Street",1,0)</f>
        <v>1</v>
      </c>
      <c r="J85" s="1">
        <f>IF(G85="Mall",1,0)</f>
        <v>0</v>
      </c>
      <c r="K85" s="1">
        <v>37705.879999999997</v>
      </c>
      <c r="L85" s="1">
        <v>1268</v>
      </c>
      <c r="M85" s="1">
        <v>0.25900000000000001</v>
      </c>
      <c r="N85" s="1">
        <v>9</v>
      </c>
      <c r="O85" s="1">
        <v>84.1</v>
      </c>
      <c r="P85" s="1">
        <v>4.7699999999999996</v>
      </c>
      <c r="Q85" s="1">
        <v>0</v>
      </c>
      <c r="R85" s="1">
        <v>3.8</v>
      </c>
      <c r="S85" s="1">
        <v>443275.59</v>
      </c>
      <c r="T85" s="1">
        <v>53544.36</v>
      </c>
      <c r="U85">
        <f>146249.7963 + (33.6835738*L85) + (1.176703422*K85) + (3062.934007*O85) + (-39654.57312*H85) + (-22957.90276*I85) + (-11306.62502*J85)</f>
        <v>467964.05313262128</v>
      </c>
      <c r="V85">
        <f>S85-U85</f>
        <v>-24688.463132621255</v>
      </c>
      <c r="W85" s="30">
        <f>V85/S85*100</f>
        <v>-5.5695516941551535</v>
      </c>
    </row>
    <row r="86" spans="1:23">
      <c r="A86" s="1" t="s">
        <v>92</v>
      </c>
      <c r="B86" s="3">
        <v>45689</v>
      </c>
      <c r="C86" s="1" t="s">
        <v>24</v>
      </c>
      <c r="D86" s="1">
        <f>IF(C86="East",1,0)</f>
        <v>0</v>
      </c>
      <c r="E86" s="1">
        <f>IF(C86="West",1,0)</f>
        <v>0</v>
      </c>
      <c r="F86" s="1">
        <f>IF(C86="North",1,0)</f>
        <v>0</v>
      </c>
      <c r="G86" s="1" t="s">
        <v>18</v>
      </c>
      <c r="H86" s="1">
        <f>IF(G86="Residential",1,0)</f>
        <v>0</v>
      </c>
      <c r="I86" s="1">
        <f>IF(G86="High Street",1,0)</f>
        <v>1</v>
      </c>
      <c r="J86" s="1">
        <f>IF(G86="Mall",1,0)</f>
        <v>0</v>
      </c>
      <c r="K86" s="1">
        <v>34771.26</v>
      </c>
      <c r="L86" s="1">
        <v>4355</v>
      </c>
      <c r="M86" s="1">
        <v>5.0999999999999997E-2</v>
      </c>
      <c r="N86" s="1">
        <v>15</v>
      </c>
      <c r="O86" s="1">
        <v>87.9</v>
      </c>
      <c r="P86" s="1">
        <v>3.09</v>
      </c>
      <c r="Q86" s="1">
        <v>0</v>
      </c>
      <c r="R86" s="1">
        <v>4</v>
      </c>
      <c r="S86" s="1">
        <v>555557.77</v>
      </c>
      <c r="T86" s="1">
        <v>86475.51</v>
      </c>
      <c r="U86">
        <f>146249.7963 + (33.6835738*L86) + (1.176703422*K86) + (3062.934007*O86) + (-39654.57312*H86) + (-22957.90276*I86) + (-11306.62502*J86)</f>
        <v>580131.21728355181</v>
      </c>
      <c r="V86">
        <f>S86-U86</f>
        <v>-24573.447283551795</v>
      </c>
      <c r="W86" s="30">
        <f>V86/S86*100</f>
        <v>-4.4232028801526431</v>
      </c>
    </row>
    <row r="87" spans="1:23">
      <c r="A87" s="1" t="s">
        <v>96</v>
      </c>
      <c r="B87" s="3">
        <v>45717</v>
      </c>
      <c r="C87" s="1" t="s">
        <v>27</v>
      </c>
      <c r="D87" s="1">
        <f>IF(C87="East",1,0)</f>
        <v>0</v>
      </c>
      <c r="E87" s="1">
        <f>IF(C87="West",1,0)</f>
        <v>1</v>
      </c>
      <c r="F87" s="1">
        <f>IF(C87="North",1,0)</f>
        <v>0</v>
      </c>
      <c r="G87" s="1" t="s">
        <v>18</v>
      </c>
      <c r="H87" s="1">
        <f>IF(G87="Residential",1,0)</f>
        <v>0</v>
      </c>
      <c r="I87" s="1">
        <f>IF(G87="High Street",1,0)</f>
        <v>1</v>
      </c>
      <c r="J87" s="1">
        <f>IF(G87="Mall",1,0)</f>
        <v>0</v>
      </c>
      <c r="K87" s="1">
        <v>46174.7</v>
      </c>
      <c r="L87" s="1">
        <v>4898</v>
      </c>
      <c r="M87" s="1">
        <v>0.114</v>
      </c>
      <c r="N87" s="1">
        <v>11</v>
      </c>
      <c r="O87" s="1">
        <v>91.7</v>
      </c>
      <c r="P87" s="1">
        <v>3.75</v>
      </c>
      <c r="Q87" s="1">
        <v>0</v>
      </c>
      <c r="R87" s="1">
        <v>3.1</v>
      </c>
      <c r="S87" s="1">
        <v>599017.32999999996</v>
      </c>
      <c r="T87" s="1">
        <v>134009.92000000001</v>
      </c>
      <c r="U87">
        <f>146249.7963 + (33.6835738*L87) + (1.176703422*K87) + (3062.934007*O87) + (-39654.57312*H87) + (-22957.90276*I87) + (-11306.62502*J87)</f>
        <v>623479.01395412348</v>
      </c>
      <c r="V87">
        <f>S87-U87</f>
        <v>-24461.683954123524</v>
      </c>
      <c r="W87" s="30">
        <f>V87/S87*100</f>
        <v>-4.0836354357433242</v>
      </c>
    </row>
    <row r="88" spans="1:23">
      <c r="A88" s="1" t="s">
        <v>42</v>
      </c>
      <c r="B88" s="3">
        <v>45658</v>
      </c>
      <c r="C88" s="1" t="s">
        <v>27</v>
      </c>
      <c r="D88" s="1">
        <f>IF(C88="East",1,0)</f>
        <v>0</v>
      </c>
      <c r="E88" s="1">
        <f>IF(C88="West",1,0)</f>
        <v>1</v>
      </c>
      <c r="F88" s="1">
        <f>IF(C88="North",1,0)</f>
        <v>0</v>
      </c>
      <c r="G88" s="1" t="s">
        <v>28</v>
      </c>
      <c r="H88" s="1">
        <f>IF(G88="Residential",1,0)</f>
        <v>0</v>
      </c>
      <c r="I88" s="1">
        <f>IF(G88="High Street",1,0)</f>
        <v>0</v>
      </c>
      <c r="J88" s="1">
        <f>IF(G88="Mall",1,0)</f>
        <v>1</v>
      </c>
      <c r="K88" s="1">
        <v>60881.01</v>
      </c>
      <c r="L88" s="1">
        <v>5410</v>
      </c>
      <c r="M88" s="1">
        <v>0.17899999999999999</v>
      </c>
      <c r="N88" s="1">
        <v>15</v>
      </c>
      <c r="O88" s="1">
        <v>83.9</v>
      </c>
      <c r="P88" s="1">
        <v>5.24</v>
      </c>
      <c r="Q88" s="1">
        <v>0</v>
      </c>
      <c r="R88" s="1">
        <v>4.5999999999999996</v>
      </c>
      <c r="S88" s="1">
        <v>621369.57999999996</v>
      </c>
      <c r="T88" s="1">
        <v>85493.64</v>
      </c>
      <c r="U88">
        <f>146249.7963 + (33.6835738*L88) + (1.176703422*K88) + (3062.934007*O88) + (-39654.57312*H88) + (-22957.90276*I88) + (-11306.62502*J88)</f>
        <v>645790.36152711615</v>
      </c>
      <c r="V88">
        <f>S88-U88</f>
        <v>-24420.781527116196</v>
      </c>
      <c r="W88" s="30">
        <f>V88/S88*100</f>
        <v>-3.9301540199499621</v>
      </c>
    </row>
    <row r="89" spans="1:23">
      <c r="A89" s="1" t="s">
        <v>71</v>
      </c>
      <c r="B89" s="3">
        <v>45717</v>
      </c>
      <c r="C89" s="1" t="s">
        <v>20</v>
      </c>
      <c r="D89" s="1">
        <f>IF(C89="East",1,0)</f>
        <v>0</v>
      </c>
      <c r="E89" s="1">
        <f>IF(C89="West",1,0)</f>
        <v>0</v>
      </c>
      <c r="F89" s="1">
        <f>IF(C89="North",1,0)</f>
        <v>1</v>
      </c>
      <c r="G89" s="1" t="s">
        <v>16</v>
      </c>
      <c r="H89" s="1">
        <f>IF(G89="Residential",1,0)</f>
        <v>1</v>
      </c>
      <c r="I89" s="1">
        <f>IF(G89="High Street",1,0)</f>
        <v>0</v>
      </c>
      <c r="J89" s="1">
        <f>IF(G89="Mall",1,0)</f>
        <v>0</v>
      </c>
      <c r="K89" s="1">
        <v>54479.33</v>
      </c>
      <c r="L89" s="1">
        <v>5012</v>
      </c>
      <c r="M89" s="1">
        <v>0.28399999999999997</v>
      </c>
      <c r="N89" s="1">
        <v>13</v>
      </c>
      <c r="O89" s="1">
        <v>86</v>
      </c>
      <c r="P89" s="1">
        <v>2.2400000000000002</v>
      </c>
      <c r="Q89" s="1">
        <v>1</v>
      </c>
      <c r="R89" s="1">
        <v>4.3</v>
      </c>
      <c r="S89" s="1">
        <v>578949.84</v>
      </c>
      <c r="T89" s="1">
        <v>80253.649999999994</v>
      </c>
      <c r="U89">
        <f>146249.7963 + (33.6835738*L89) + (1.176703422*K89) + (3062.934007*O89) + (-39654.57312*H89) + (-22957.90276*I89) + (-11306.62502*J89)</f>
        <v>602935.63370686735</v>
      </c>
      <c r="V89">
        <f>S89-U89</f>
        <v>-23985.793706867378</v>
      </c>
      <c r="W89" s="30">
        <f>V89/S89*100</f>
        <v>-4.1429830444149323</v>
      </c>
    </row>
    <row r="90" spans="1:23">
      <c r="A90" s="1" t="s">
        <v>88</v>
      </c>
      <c r="B90" s="3">
        <v>45658</v>
      </c>
      <c r="C90" s="1" t="s">
        <v>15</v>
      </c>
      <c r="D90" s="1">
        <f>IF(C90="East",1,0)</f>
        <v>1</v>
      </c>
      <c r="E90" s="1">
        <f>IF(C90="West",1,0)</f>
        <v>0</v>
      </c>
      <c r="F90" s="1">
        <f>IF(C90="North",1,0)</f>
        <v>0</v>
      </c>
      <c r="G90" s="1" t="s">
        <v>18</v>
      </c>
      <c r="H90" s="1">
        <f>IF(G90="Residential",1,0)</f>
        <v>0</v>
      </c>
      <c r="I90" s="1">
        <f>IF(G90="High Street",1,0)</f>
        <v>1</v>
      </c>
      <c r="J90" s="1">
        <f>IF(G90="Mall",1,0)</f>
        <v>0</v>
      </c>
      <c r="K90" s="1">
        <v>58981.91</v>
      </c>
      <c r="L90" s="1">
        <v>7324</v>
      </c>
      <c r="M90" s="1">
        <v>9.4E-2</v>
      </c>
      <c r="N90" s="1">
        <v>15</v>
      </c>
      <c r="O90" s="1">
        <v>95.8</v>
      </c>
      <c r="P90" s="1">
        <v>0.5</v>
      </c>
      <c r="Q90" s="1">
        <v>0</v>
      </c>
      <c r="R90" s="1">
        <v>3.5</v>
      </c>
      <c r="S90" s="1">
        <v>708985.19</v>
      </c>
      <c r="T90" s="1">
        <v>125368.16</v>
      </c>
      <c r="U90">
        <f>146249.7963 + (33.6835738*L90) + (1.176703422*K90) + (3062.934007*O90) + (-39654.57312*H90) + (-22957.90276*I90) + (-11306.62502*J90)</f>
        <v>732823.68125489599</v>
      </c>
      <c r="V90">
        <f>S90-U90</f>
        <v>-23838.491254896042</v>
      </c>
      <c r="W90" s="30">
        <f>V90/S90*100</f>
        <v>-3.3623398049959325</v>
      </c>
    </row>
    <row r="91" spans="1:23">
      <c r="A91" s="1" t="s">
        <v>30</v>
      </c>
      <c r="B91" s="3">
        <v>45748</v>
      </c>
      <c r="C91" s="1" t="s">
        <v>20</v>
      </c>
      <c r="D91" s="1">
        <f>IF(C91="East",1,0)</f>
        <v>0</v>
      </c>
      <c r="E91" s="1">
        <f>IF(C91="West",1,0)</f>
        <v>0</v>
      </c>
      <c r="F91" s="1">
        <f>IF(C91="North",1,0)</f>
        <v>1</v>
      </c>
      <c r="G91" s="1" t="s">
        <v>16</v>
      </c>
      <c r="H91" s="1">
        <f>IF(G91="Residential",1,0)</f>
        <v>1</v>
      </c>
      <c r="I91" s="1">
        <f>IF(G91="High Street",1,0)</f>
        <v>0</v>
      </c>
      <c r="J91" s="1">
        <f>IF(G91="Mall",1,0)</f>
        <v>0</v>
      </c>
      <c r="K91" s="1">
        <v>52483.77</v>
      </c>
      <c r="L91" s="1">
        <v>10453</v>
      </c>
      <c r="M91" s="1">
        <v>0.247</v>
      </c>
      <c r="N91" s="1">
        <v>25</v>
      </c>
      <c r="O91" s="1">
        <v>99</v>
      </c>
      <c r="P91" s="1">
        <v>6.31</v>
      </c>
      <c r="Q91" s="1">
        <v>0</v>
      </c>
      <c r="R91" s="1">
        <v>3.6</v>
      </c>
      <c r="S91" s="1">
        <v>800979.78</v>
      </c>
      <c r="T91" s="1">
        <v>149242.26999999999</v>
      </c>
      <c r="U91">
        <f>146249.7963 + (33.6835738*L91) + (1.176703422*K91) + (3062.934007*O91) + (-39654.57312*H91) + (-22957.90276*I91) + (-11306.62502*J91)</f>
        <v>823677.91856286104</v>
      </c>
      <c r="V91">
        <f>S91-U91</f>
        <v>-22698.138562861015</v>
      </c>
      <c r="W91" s="30">
        <f>V91/S91*100</f>
        <v>-2.8337966986958167</v>
      </c>
    </row>
    <row r="92" spans="1:23">
      <c r="A92" s="1" t="s">
        <v>58</v>
      </c>
      <c r="B92" s="3">
        <v>45689</v>
      </c>
      <c r="C92" s="1" t="s">
        <v>20</v>
      </c>
      <c r="D92" s="1">
        <f>IF(C92="East",1,0)</f>
        <v>0</v>
      </c>
      <c r="E92" s="1">
        <f>IF(C92="West",1,0)</f>
        <v>0</v>
      </c>
      <c r="F92" s="1">
        <f>IF(C92="North",1,0)</f>
        <v>1</v>
      </c>
      <c r="G92" s="1" t="s">
        <v>16</v>
      </c>
      <c r="H92" s="1">
        <f>IF(G92="Residential",1,0)</f>
        <v>1</v>
      </c>
      <c r="I92" s="1">
        <f>IF(G92="High Street",1,0)</f>
        <v>0</v>
      </c>
      <c r="J92" s="1">
        <f>IF(G92="Mall",1,0)</f>
        <v>0</v>
      </c>
      <c r="K92" s="1">
        <v>50909.27</v>
      </c>
      <c r="L92" s="1">
        <v>3152</v>
      </c>
      <c r="M92" s="1">
        <v>0.06</v>
      </c>
      <c r="N92" s="1">
        <v>13</v>
      </c>
      <c r="O92" s="1">
        <v>93.7</v>
      </c>
      <c r="P92" s="1">
        <v>10.79</v>
      </c>
      <c r="Q92" s="1">
        <v>0</v>
      </c>
      <c r="R92" s="1">
        <v>3.5</v>
      </c>
      <c r="S92" s="1">
        <v>537058.32999999996</v>
      </c>
      <c r="T92" s="1">
        <v>93555.71</v>
      </c>
      <c r="U92">
        <f>146249.7963 + (33.6835738*L92) + (1.176703422*K92) + (3062.934007*O92) + (-39654.57312*H92) + (-22957.90276*I92) + (-11306.62502*J92)</f>
        <v>559667.87647402205</v>
      </c>
      <c r="V92">
        <f>S92-U92</f>
        <v>-22609.546474022092</v>
      </c>
      <c r="W92" s="30">
        <f>V92/S92*100</f>
        <v>-4.209886563722435</v>
      </c>
    </row>
    <row r="93" spans="1:23">
      <c r="A93" s="1" t="s">
        <v>64</v>
      </c>
      <c r="B93" s="3">
        <v>45658</v>
      </c>
      <c r="C93" s="1" t="s">
        <v>15</v>
      </c>
      <c r="D93" s="1">
        <f>IF(C93="East",1,0)</f>
        <v>1</v>
      </c>
      <c r="E93" s="1">
        <f>IF(C93="West",1,0)</f>
        <v>0</v>
      </c>
      <c r="F93" s="1">
        <f>IF(C93="North",1,0)</f>
        <v>0</v>
      </c>
      <c r="G93" s="1" t="s">
        <v>16</v>
      </c>
      <c r="H93" s="1">
        <f>IF(G93="Residential",1,0)</f>
        <v>1</v>
      </c>
      <c r="I93" s="1">
        <f>IF(G93="High Street",1,0)</f>
        <v>0</v>
      </c>
      <c r="J93" s="1">
        <f>IF(G93="Mall",1,0)</f>
        <v>0</v>
      </c>
      <c r="K93" s="1">
        <v>62059.18</v>
      </c>
      <c r="L93" s="1">
        <v>9374</v>
      </c>
      <c r="M93" s="1">
        <v>0.13600000000000001</v>
      </c>
      <c r="N93" s="1">
        <v>25</v>
      </c>
      <c r="O93" s="1">
        <v>87.1</v>
      </c>
      <c r="P93" s="1">
        <v>12.55</v>
      </c>
      <c r="Q93" s="1">
        <v>0</v>
      </c>
      <c r="R93" s="1">
        <v>4.9000000000000004</v>
      </c>
      <c r="S93" s="1">
        <v>739831.73</v>
      </c>
      <c r="T93" s="1">
        <v>119490.21</v>
      </c>
      <c r="U93">
        <f>146249.7963 + (33.6835738*L93) + (1.176703422*K93) + (3062.934007*O93) + (-39654.57312*H93) + (-22957.90276*I93) + (-11306.62502*J93)</f>
        <v>762151.84546341398</v>
      </c>
      <c r="V93">
        <f>S93-U93</f>
        <v>-22320.115463413997</v>
      </c>
      <c r="W93" s="30">
        <f>V93/S93*100</f>
        <v>-3.0169178420360527</v>
      </c>
    </row>
    <row r="94" spans="1:23">
      <c r="A94" s="1" t="s">
        <v>38</v>
      </c>
      <c r="B94" s="3">
        <v>45658</v>
      </c>
      <c r="C94" s="1" t="s">
        <v>27</v>
      </c>
      <c r="D94" s="1">
        <f>IF(C94="East",1,0)</f>
        <v>0</v>
      </c>
      <c r="E94" s="1">
        <f>IF(C94="West",1,0)</f>
        <v>1</v>
      </c>
      <c r="F94" s="1">
        <f>IF(C94="North",1,0)</f>
        <v>0</v>
      </c>
      <c r="G94" s="1" t="s">
        <v>18</v>
      </c>
      <c r="H94" s="1">
        <f>IF(G94="Residential",1,0)</f>
        <v>0</v>
      </c>
      <c r="I94" s="1">
        <f>IF(G94="High Street",1,0)</f>
        <v>1</v>
      </c>
      <c r="J94" s="1">
        <f>IF(G94="Mall",1,0)</f>
        <v>0</v>
      </c>
      <c r="K94" s="1">
        <v>70040.31</v>
      </c>
      <c r="L94" s="1">
        <v>9175</v>
      </c>
      <c r="M94" s="1">
        <v>0.107</v>
      </c>
      <c r="N94" s="1">
        <v>23</v>
      </c>
      <c r="O94" s="1">
        <v>95.1</v>
      </c>
      <c r="P94" s="1">
        <v>6.08</v>
      </c>
      <c r="Q94" s="1">
        <v>1</v>
      </c>
      <c r="R94" s="1">
        <v>3.4</v>
      </c>
      <c r="S94" s="1">
        <v>784502.68</v>
      </c>
      <c r="T94" s="1">
        <v>129519.72</v>
      </c>
      <c r="U94">
        <f>146249.7963 + (33.6835738*L94) + (1.176703422*K94) + (3062.934007*O94) + (-39654.57312*H94) + (-22957.90276*I94) + (-11306.62502*J94)</f>
        <v>806040.37967564072</v>
      </c>
      <c r="V94">
        <f>S94-U94</f>
        <v>-21537.699675640673</v>
      </c>
      <c r="W94" s="30">
        <f>V94/S94*100</f>
        <v>-2.7453952962455999</v>
      </c>
    </row>
    <row r="95" spans="1:23">
      <c r="A95" s="1" t="s">
        <v>36</v>
      </c>
      <c r="B95" s="3">
        <v>45658</v>
      </c>
      <c r="C95" s="1" t="s">
        <v>15</v>
      </c>
      <c r="D95" s="1">
        <f>IF(C95="East",1,0)</f>
        <v>1</v>
      </c>
      <c r="E95" s="1">
        <f>IF(C95="West",1,0)</f>
        <v>0</v>
      </c>
      <c r="F95" s="1">
        <f>IF(C95="North",1,0)</f>
        <v>0</v>
      </c>
      <c r="G95" s="1" t="s">
        <v>21</v>
      </c>
      <c r="H95" s="1">
        <f>IF(G95="Residential",1,0)</f>
        <v>0</v>
      </c>
      <c r="I95" s="1">
        <f>IF(G95="High Street",1,0)</f>
        <v>0</v>
      </c>
      <c r="J95" s="1">
        <f>IF(G95="Mall",1,0)</f>
        <v>0</v>
      </c>
      <c r="K95" s="1">
        <v>19365.060000000001</v>
      </c>
      <c r="L95" s="1">
        <v>2378</v>
      </c>
      <c r="M95" s="1">
        <v>0</v>
      </c>
      <c r="N95" s="1">
        <v>12</v>
      </c>
      <c r="O95" s="1">
        <v>94.8</v>
      </c>
      <c r="P95" s="1">
        <v>0.2</v>
      </c>
      <c r="Q95" s="1">
        <v>0</v>
      </c>
      <c r="R95" s="1">
        <v>3.5</v>
      </c>
      <c r="S95" s="1">
        <v>518049.26</v>
      </c>
      <c r="T95" s="1">
        <v>108592.49</v>
      </c>
      <c r="U95">
        <f>146249.7963 + (33.6835738*L95) + (1.176703422*K95) + (3062.934007*O95) + (-39654.57312*H95) + (-22957.90276*I95) + (-11306.62502*J95)</f>
        <v>539502.41102923523</v>
      </c>
      <c r="V95">
        <f>S95-U95</f>
        <v>-21453.151029235218</v>
      </c>
      <c r="W95" s="30">
        <f>V95/S95*100</f>
        <v>-4.1411411395964963</v>
      </c>
    </row>
    <row r="96" spans="1:23">
      <c r="A96" s="1" t="s">
        <v>76</v>
      </c>
      <c r="B96" s="3">
        <v>45689</v>
      </c>
      <c r="C96" s="1" t="s">
        <v>20</v>
      </c>
      <c r="D96" s="1">
        <f>IF(C96="East",1,0)</f>
        <v>0</v>
      </c>
      <c r="E96" s="1">
        <f>IF(C96="West",1,0)</f>
        <v>0</v>
      </c>
      <c r="F96" s="1">
        <f>IF(C96="North",1,0)</f>
        <v>1</v>
      </c>
      <c r="G96" s="1" t="s">
        <v>21</v>
      </c>
      <c r="H96" s="1">
        <f>IF(G96="Residential",1,0)</f>
        <v>0</v>
      </c>
      <c r="I96" s="1">
        <f>IF(G96="High Street",1,0)</f>
        <v>0</v>
      </c>
      <c r="J96" s="1">
        <f>IF(G96="Mall",1,0)</f>
        <v>0</v>
      </c>
      <c r="K96" s="1">
        <v>33987.33</v>
      </c>
      <c r="L96" s="1">
        <v>5014</v>
      </c>
      <c r="M96" s="1">
        <v>0.246</v>
      </c>
      <c r="N96" s="1">
        <v>17</v>
      </c>
      <c r="O96" s="1">
        <v>94.3</v>
      </c>
      <c r="P96" s="1">
        <v>10.34</v>
      </c>
      <c r="Q96" s="1">
        <v>0</v>
      </c>
      <c r="R96" s="1">
        <v>3.9</v>
      </c>
      <c r="S96" s="1">
        <v>622892.42000000004</v>
      </c>
      <c r="T96" s="1">
        <v>101032.52</v>
      </c>
      <c r="U96">
        <f>146249.7963 + (33.6835738*L96) + (1.176703422*K96) + (3062.934007*O96) + (-39654.57312*H96) + (-22957.90276*I96) + (-11306.62502*J96)</f>
        <v>643966.91970894323</v>
      </c>
      <c r="V96">
        <f>S96-U96</f>
        <v>-21074.499708943185</v>
      </c>
      <c r="W96" s="30">
        <f>V96/S96*100</f>
        <v>-3.3833289717898931</v>
      </c>
    </row>
    <row r="97" spans="1:23">
      <c r="A97" s="1" t="s">
        <v>60</v>
      </c>
      <c r="B97" s="3">
        <v>45658</v>
      </c>
      <c r="C97" s="1" t="s">
        <v>15</v>
      </c>
      <c r="D97" s="1">
        <f>IF(C97="East",1,0)</f>
        <v>1</v>
      </c>
      <c r="E97" s="1">
        <f>IF(C97="West",1,0)</f>
        <v>0</v>
      </c>
      <c r="F97" s="1">
        <f>IF(C97="North",1,0)</f>
        <v>0</v>
      </c>
      <c r="G97" s="1" t="s">
        <v>18</v>
      </c>
      <c r="H97" s="1">
        <f>IF(G97="Residential",1,0)</f>
        <v>0</v>
      </c>
      <c r="I97" s="1">
        <f>IF(G97="High Street",1,0)</f>
        <v>1</v>
      </c>
      <c r="J97" s="1">
        <f>IF(G97="Mall",1,0)</f>
        <v>0</v>
      </c>
      <c r="K97" s="1">
        <v>75645.23</v>
      </c>
      <c r="L97" s="1">
        <v>9674</v>
      </c>
      <c r="M97" s="1">
        <v>0.23400000000000001</v>
      </c>
      <c r="N97" s="1">
        <v>21</v>
      </c>
      <c r="O97" s="1">
        <v>87.4</v>
      </c>
      <c r="P97" s="1">
        <v>0.2</v>
      </c>
      <c r="Q97" s="1">
        <v>0</v>
      </c>
      <c r="R97" s="1">
        <v>4.5</v>
      </c>
      <c r="S97" s="1">
        <v>785028.25</v>
      </c>
      <c r="T97" s="1">
        <v>110726.44</v>
      </c>
      <c r="U97">
        <f>146249.7963 + (33.6835738*L97) + (1.176703422*K97) + (3062.934007*O97) + (-39654.57312*H97) + (-22957.90276*I97) + (-11306.62502*J97)</f>
        <v>805859.21969197714</v>
      </c>
      <c r="V97">
        <f>S97-U97</f>
        <v>-20830.969691977138</v>
      </c>
      <c r="W97" s="30">
        <f>V97/S97*100</f>
        <v>-2.653531219032836</v>
      </c>
    </row>
    <row r="98" spans="1:23">
      <c r="A98" s="1" t="s">
        <v>71</v>
      </c>
      <c r="B98" s="3">
        <v>45689</v>
      </c>
      <c r="C98" s="1" t="s">
        <v>20</v>
      </c>
      <c r="D98" s="1">
        <f>IF(C98="East",1,0)</f>
        <v>0</v>
      </c>
      <c r="E98" s="1">
        <f>IF(C98="West",1,0)</f>
        <v>0</v>
      </c>
      <c r="F98" s="1">
        <f>IF(C98="North",1,0)</f>
        <v>1</v>
      </c>
      <c r="G98" s="1" t="s">
        <v>16</v>
      </c>
      <c r="H98" s="1">
        <f>IF(G98="Residential",1,0)</f>
        <v>1</v>
      </c>
      <c r="I98" s="1">
        <f>IF(G98="High Street",1,0)</f>
        <v>0</v>
      </c>
      <c r="J98" s="1">
        <f>IF(G98="Mall",1,0)</f>
        <v>0</v>
      </c>
      <c r="K98" s="1">
        <v>54002.83</v>
      </c>
      <c r="L98" s="1">
        <v>4366</v>
      </c>
      <c r="M98" s="1">
        <v>2.7E-2</v>
      </c>
      <c r="N98" s="1">
        <v>15</v>
      </c>
      <c r="O98" s="1">
        <v>90.6</v>
      </c>
      <c r="P98" s="1">
        <v>12.82</v>
      </c>
      <c r="Q98" s="1">
        <v>0</v>
      </c>
      <c r="R98" s="1">
        <v>4.5999999999999996</v>
      </c>
      <c r="S98" s="1">
        <v>574066.61</v>
      </c>
      <c r="T98" s="1">
        <v>124674.67</v>
      </c>
      <c r="U98">
        <f>146249.7963 + (33.6835738*L98) + (1.176703422*K98) + (3062.934007*O98) + (-39654.57312*H98) + (-22957.90276*I98) + (-11306.62502*J98)</f>
        <v>594704.84228368418</v>
      </c>
      <c r="V98">
        <f>S98-U98</f>
        <v>-20638.232283684192</v>
      </c>
      <c r="W98" s="30">
        <f>V98/S98*100</f>
        <v>-3.5950936571078738</v>
      </c>
    </row>
    <row r="99" spans="1:23">
      <c r="A99" s="1" t="s">
        <v>81</v>
      </c>
      <c r="B99" s="3">
        <v>45689</v>
      </c>
      <c r="C99" s="1" t="s">
        <v>27</v>
      </c>
      <c r="D99" s="1">
        <f>IF(C99="East",1,0)</f>
        <v>0</v>
      </c>
      <c r="E99" s="1">
        <f>IF(C99="West",1,0)</f>
        <v>1</v>
      </c>
      <c r="F99" s="1">
        <f>IF(C99="North",1,0)</f>
        <v>0</v>
      </c>
      <c r="G99" s="1" t="s">
        <v>28</v>
      </c>
      <c r="H99" s="1">
        <f>IF(G99="Residential",1,0)</f>
        <v>0</v>
      </c>
      <c r="I99" s="1">
        <f>IF(G99="High Street",1,0)</f>
        <v>0</v>
      </c>
      <c r="J99" s="1">
        <f>IF(G99="Mall",1,0)</f>
        <v>1</v>
      </c>
      <c r="K99" s="1">
        <v>72961.95</v>
      </c>
      <c r="L99" s="1">
        <v>9996</v>
      </c>
      <c r="M99" s="1">
        <v>0.106</v>
      </c>
      <c r="N99" s="1">
        <v>22</v>
      </c>
      <c r="O99" s="1">
        <v>89.1</v>
      </c>
      <c r="P99" s="1">
        <v>15.66</v>
      </c>
      <c r="Q99" s="1">
        <v>0</v>
      </c>
      <c r="R99" s="1">
        <v>3.4</v>
      </c>
      <c r="S99" s="1">
        <v>810355.02</v>
      </c>
      <c r="T99" s="1">
        <v>131510</v>
      </c>
      <c r="U99">
        <f>146249.7963 + (33.6835738*L99) + (1.176703422*K99) + (3062.934007*O99) + (-39654.57312*H99) + (-22957.90276*I99) + (-11306.62502*J99)</f>
        <v>830406.17124929279</v>
      </c>
      <c r="V99">
        <f>S99-U99</f>
        <v>-20051.151249292772</v>
      </c>
      <c r="W99" s="30">
        <f>V99/S99*100</f>
        <v>-2.4743662659475807</v>
      </c>
    </row>
    <row r="100" spans="1:23">
      <c r="A100" s="1" t="s">
        <v>89</v>
      </c>
      <c r="B100" s="3">
        <v>45717</v>
      </c>
      <c r="C100" s="1" t="s">
        <v>15</v>
      </c>
      <c r="D100" s="1">
        <f>IF(C100="East",1,0)</f>
        <v>1</v>
      </c>
      <c r="E100" s="1">
        <f>IF(C100="West",1,0)</f>
        <v>0</v>
      </c>
      <c r="F100" s="1">
        <f>IF(C100="North",1,0)</f>
        <v>0</v>
      </c>
      <c r="G100" s="1" t="s">
        <v>28</v>
      </c>
      <c r="H100" s="1">
        <f>IF(G100="Residential",1,0)</f>
        <v>0</v>
      </c>
      <c r="I100" s="1">
        <f>IF(G100="High Street",1,0)</f>
        <v>0</v>
      </c>
      <c r="J100" s="1">
        <f>IF(G100="Mall",1,0)</f>
        <v>1</v>
      </c>
      <c r="K100" s="1">
        <v>61995.3</v>
      </c>
      <c r="L100" s="1">
        <v>10192</v>
      </c>
      <c r="M100" s="1">
        <v>0.19800000000000001</v>
      </c>
      <c r="N100" s="1">
        <v>21</v>
      </c>
      <c r="O100" s="1">
        <v>87.6</v>
      </c>
      <c r="P100" s="1">
        <v>3.63</v>
      </c>
      <c r="Q100" s="1">
        <v>1</v>
      </c>
      <c r="R100" s="1">
        <v>3.8</v>
      </c>
      <c r="S100" s="1">
        <v>799756.46</v>
      </c>
      <c r="T100" s="1">
        <v>105052.93</v>
      </c>
      <c r="U100">
        <f>146249.7963 + (33.6835738*L100) + (1.176703422*K100) + (3062.934007*O100) + (-39654.57312*H100) + (-22957.90276*I100) + (-11306.62502*J100)</f>
        <v>819509.25612071645</v>
      </c>
      <c r="V100">
        <f>S100-U100</f>
        <v>-19752.796120716492</v>
      </c>
      <c r="W100" s="30">
        <f>V100/S100*100</f>
        <v>-2.4698513996018852</v>
      </c>
    </row>
    <row r="101" spans="1:23">
      <c r="A101" s="1" t="s">
        <v>38</v>
      </c>
      <c r="B101" s="3">
        <v>45689</v>
      </c>
      <c r="C101" s="1" t="s">
        <v>27</v>
      </c>
      <c r="D101" s="1">
        <f>IF(C101="East",1,0)</f>
        <v>0</v>
      </c>
      <c r="E101" s="1">
        <f>IF(C101="West",1,0)</f>
        <v>1</v>
      </c>
      <c r="F101" s="1">
        <f>IF(C101="North",1,0)</f>
        <v>0</v>
      </c>
      <c r="G101" s="1" t="s">
        <v>18</v>
      </c>
      <c r="H101" s="1">
        <f>IF(G101="Residential",1,0)</f>
        <v>0</v>
      </c>
      <c r="I101" s="1">
        <f>IF(G101="High Street",1,0)</f>
        <v>1</v>
      </c>
      <c r="J101" s="1">
        <f>IF(G101="Mall",1,0)</f>
        <v>0</v>
      </c>
      <c r="K101" s="1">
        <v>51148.69</v>
      </c>
      <c r="L101" s="1">
        <v>7940</v>
      </c>
      <c r="M101" s="1">
        <v>0.156</v>
      </c>
      <c r="N101" s="1">
        <v>18</v>
      </c>
      <c r="O101" s="1">
        <v>93.3</v>
      </c>
      <c r="P101" s="1">
        <v>10.91</v>
      </c>
      <c r="Q101" s="1">
        <v>0</v>
      </c>
      <c r="R101" s="1">
        <v>3.6</v>
      </c>
      <c r="S101" s="1">
        <v>717141.55</v>
      </c>
      <c r="T101" s="1">
        <v>134013.60999999999</v>
      </c>
      <c r="U101">
        <f>146249.7963 + (33.6835738*L101) + (1.176703422*K101) + (3062.934007*O101) + (-39654.57312*H101) + (-22957.90276*I101) + (-11306.62502*J101)</f>
        <v>736698.05091891717</v>
      </c>
      <c r="V101">
        <f>S101-U101</f>
        <v>-19556.500918917125</v>
      </c>
      <c r="W101" s="30">
        <f>V101/S101*100</f>
        <v>-2.7270070907085393</v>
      </c>
    </row>
    <row r="102" spans="1:23">
      <c r="A102" s="1" t="s">
        <v>83</v>
      </c>
      <c r="B102" s="3">
        <v>45748</v>
      </c>
      <c r="C102" s="1" t="s">
        <v>15</v>
      </c>
      <c r="D102" s="1">
        <f>IF(C102="East",1,0)</f>
        <v>1</v>
      </c>
      <c r="E102" s="1">
        <f>IF(C102="West",1,0)</f>
        <v>0</v>
      </c>
      <c r="F102" s="1">
        <f>IF(C102="North",1,0)</f>
        <v>0</v>
      </c>
      <c r="G102" s="1" t="s">
        <v>18</v>
      </c>
      <c r="H102" s="1">
        <f>IF(G102="Residential",1,0)</f>
        <v>0</v>
      </c>
      <c r="I102" s="1">
        <f>IF(G102="High Street",1,0)</f>
        <v>1</v>
      </c>
      <c r="J102" s="1">
        <f>IF(G102="Mall",1,0)</f>
        <v>0</v>
      </c>
      <c r="K102" s="1">
        <v>21536.18</v>
      </c>
      <c r="L102" s="1">
        <v>8119</v>
      </c>
      <c r="M102" s="1">
        <v>0.22700000000000001</v>
      </c>
      <c r="N102" s="1">
        <v>20</v>
      </c>
      <c r="O102" s="1">
        <v>90.4</v>
      </c>
      <c r="P102" s="1">
        <v>1.7</v>
      </c>
      <c r="Q102" s="1">
        <v>0</v>
      </c>
      <c r="R102" s="1">
        <v>3.3</v>
      </c>
      <c r="S102" s="1">
        <v>679888.74</v>
      </c>
      <c r="T102" s="1">
        <v>83406.89</v>
      </c>
      <c r="U102">
        <f>146249.7963 + (33.6835738*L102) + (1.176703422*K102) + (3062.934007*O102) + (-39654.57312*H102) + (-22957.90276*I102) + (-11306.62502*J102)</f>
        <v>698999.76015780796</v>
      </c>
      <c r="V102">
        <f>S102-U102</f>
        <v>-19111.020157807972</v>
      </c>
      <c r="W102" s="30">
        <f>V102/S102*100</f>
        <v>-2.8109040543615964</v>
      </c>
    </row>
    <row r="103" spans="1:23">
      <c r="A103" s="1" t="s">
        <v>55</v>
      </c>
      <c r="B103" s="3">
        <v>45748</v>
      </c>
      <c r="C103" s="1" t="s">
        <v>20</v>
      </c>
      <c r="D103" s="1">
        <f>IF(C103="East",1,0)</f>
        <v>0</v>
      </c>
      <c r="E103" s="1">
        <f>IF(C103="West",1,0)</f>
        <v>0</v>
      </c>
      <c r="F103" s="1">
        <f>IF(C103="North",1,0)</f>
        <v>1</v>
      </c>
      <c r="G103" s="1" t="s">
        <v>18</v>
      </c>
      <c r="H103" s="1">
        <f>IF(G103="Residential",1,0)</f>
        <v>0</v>
      </c>
      <c r="I103" s="1">
        <f>IF(G103="High Street",1,0)</f>
        <v>1</v>
      </c>
      <c r="J103" s="1">
        <f>IF(G103="Mall",1,0)</f>
        <v>0</v>
      </c>
      <c r="K103" s="1">
        <v>70366.759999999995</v>
      </c>
      <c r="L103" s="1">
        <v>1963</v>
      </c>
      <c r="M103" s="1">
        <v>0.182</v>
      </c>
      <c r="N103" s="1">
        <v>8</v>
      </c>
      <c r="O103" s="1">
        <v>89.8</v>
      </c>
      <c r="P103" s="1">
        <v>3.2</v>
      </c>
      <c r="Q103" s="1">
        <v>0</v>
      </c>
      <c r="R103" s="1">
        <v>4.5999999999999996</v>
      </c>
      <c r="S103" s="1">
        <v>529075.94999999995</v>
      </c>
      <c r="T103" s="1">
        <v>95978.83</v>
      </c>
      <c r="U103">
        <f>146249.7963 + (33.6835738*L103) + (1.176703422*K103) + (3062.934007*O103) + (-39654.57312*H103) + (-22957.90276*I103) + (-11306.62502*J103)</f>
        <v>547265.03002505272</v>
      </c>
      <c r="V103">
        <f>S103-U103</f>
        <v>-18189.080025052768</v>
      </c>
      <c r="W103" s="30">
        <f>V103/S103*100</f>
        <v>-3.4378958304668297</v>
      </c>
    </row>
    <row r="104" spans="1:23">
      <c r="A104" s="1" t="s">
        <v>68</v>
      </c>
      <c r="B104" s="3">
        <v>45658</v>
      </c>
      <c r="C104" s="1" t="s">
        <v>20</v>
      </c>
      <c r="D104" s="1">
        <f>IF(C104="East",1,0)</f>
        <v>0</v>
      </c>
      <c r="E104" s="1">
        <f>IF(C104="West",1,0)</f>
        <v>0</v>
      </c>
      <c r="F104" s="1">
        <f>IF(C104="North",1,0)</f>
        <v>1</v>
      </c>
      <c r="G104" s="1" t="s">
        <v>18</v>
      </c>
      <c r="H104" s="1">
        <f>IF(G104="Residential",1,0)</f>
        <v>0</v>
      </c>
      <c r="I104" s="1">
        <f>IF(G104="High Street",1,0)</f>
        <v>1</v>
      </c>
      <c r="J104" s="1">
        <f>IF(G104="Mall",1,0)</f>
        <v>0</v>
      </c>
      <c r="K104" s="1">
        <v>71941.62</v>
      </c>
      <c r="L104" s="1">
        <v>6084</v>
      </c>
      <c r="M104" s="1">
        <v>7.1999999999999995E-2</v>
      </c>
      <c r="N104" s="1">
        <v>13</v>
      </c>
      <c r="O104" s="1">
        <v>93.7</v>
      </c>
      <c r="P104" s="1">
        <v>2.34</v>
      </c>
      <c r="Q104" s="1">
        <v>0</v>
      </c>
      <c r="R104" s="1">
        <v>4.4000000000000004</v>
      </c>
      <c r="S104" s="1">
        <v>681855.56</v>
      </c>
      <c r="T104" s="1">
        <v>117645.61</v>
      </c>
      <c r="U104">
        <f>146249.7963 + (33.6835738*L104) + (1.176703422*K104) + (3062.934007*O104) + (-39654.57312*H104) + (-22957.90276*I104) + (-11306.62502*J104)</f>
        <v>699873.62343332358</v>
      </c>
      <c r="V104">
        <f>S104-U104</f>
        <v>-18018.063433323521</v>
      </c>
      <c r="W104" s="30">
        <f>V104/S104*100</f>
        <v>-2.6425044379374891</v>
      </c>
    </row>
    <row r="105" spans="1:23">
      <c r="A105" s="1" t="s">
        <v>74</v>
      </c>
      <c r="B105" s="3">
        <v>45717</v>
      </c>
      <c r="C105" s="1" t="s">
        <v>15</v>
      </c>
      <c r="D105" s="1">
        <f>IF(C105="East",1,0)</f>
        <v>1</v>
      </c>
      <c r="E105" s="1">
        <f>IF(C105="West",1,0)</f>
        <v>0</v>
      </c>
      <c r="F105" s="1">
        <f>IF(C105="North",1,0)</f>
        <v>0</v>
      </c>
      <c r="G105" s="1" t="s">
        <v>18</v>
      </c>
      <c r="H105" s="1">
        <f>IF(G105="Residential",1,0)</f>
        <v>0</v>
      </c>
      <c r="I105" s="1">
        <f>IF(G105="High Street",1,0)</f>
        <v>1</v>
      </c>
      <c r="J105" s="1">
        <f>IF(G105="Mall",1,0)</f>
        <v>0</v>
      </c>
      <c r="K105" s="1">
        <v>107970.19</v>
      </c>
      <c r="L105" s="1">
        <v>12870</v>
      </c>
      <c r="M105" s="1">
        <v>2.9000000000000001E-2</v>
      </c>
      <c r="N105" s="1">
        <v>31</v>
      </c>
      <c r="O105" s="1">
        <v>91.7</v>
      </c>
      <c r="P105" s="1">
        <v>3.82</v>
      </c>
      <c r="Q105" s="1">
        <v>1</v>
      </c>
      <c r="R105" s="1">
        <v>3.7</v>
      </c>
      <c r="S105" s="1">
        <v>946833.54</v>
      </c>
      <c r="T105" s="1">
        <v>184540.31</v>
      </c>
      <c r="U105">
        <f>146249.7963 + (33.6835738*L105) + (1.176703422*K105) + (3062.934007*O105) + (-39654.57312*H105) + (-22957.90276*I105) + (-11306.62502*J105)</f>
        <v>964719.42883489025</v>
      </c>
      <c r="V105">
        <f>S105-U105</f>
        <v>-17885.888834890211</v>
      </c>
      <c r="W105" s="30">
        <f>V105/S105*100</f>
        <v>-1.8890214677957238</v>
      </c>
    </row>
    <row r="106" spans="1:23">
      <c r="A106" s="1" t="s">
        <v>81</v>
      </c>
      <c r="B106" s="3">
        <v>45717</v>
      </c>
      <c r="C106" s="1" t="s">
        <v>27</v>
      </c>
      <c r="D106" s="1">
        <f>IF(C106="East",1,0)</f>
        <v>0</v>
      </c>
      <c r="E106" s="1">
        <f>IF(C106="West",1,0)</f>
        <v>1</v>
      </c>
      <c r="F106" s="1">
        <f>IF(C106="North",1,0)</f>
        <v>0</v>
      </c>
      <c r="G106" s="1" t="s">
        <v>28</v>
      </c>
      <c r="H106" s="1">
        <f>IF(G106="Residential",1,0)</f>
        <v>0</v>
      </c>
      <c r="I106" s="1">
        <f>IF(G106="High Street",1,0)</f>
        <v>0</v>
      </c>
      <c r="J106" s="1">
        <f>IF(G106="Mall",1,0)</f>
        <v>1</v>
      </c>
      <c r="K106" s="1">
        <v>59060.05</v>
      </c>
      <c r="L106" s="1">
        <v>9702</v>
      </c>
      <c r="M106" s="1">
        <v>0.20100000000000001</v>
      </c>
      <c r="N106" s="1">
        <v>23</v>
      </c>
      <c r="O106" s="1">
        <v>80.900000000000006</v>
      </c>
      <c r="P106" s="1">
        <v>6.96</v>
      </c>
      <c r="Q106" s="1">
        <v>0</v>
      </c>
      <c r="R106" s="1">
        <v>3.2</v>
      </c>
      <c r="S106" s="1">
        <v>761919.25</v>
      </c>
      <c r="T106" s="1">
        <v>111893.06</v>
      </c>
      <c r="U106">
        <f>146249.7963 + (33.6835738*L106) + (1.176703422*K106) + (3062.934007*O106) + (-39654.57312*H106) + (-22957.90276*I106) + (-11306.62502*J106)</f>
        <v>779028.72839239112</v>
      </c>
      <c r="V106">
        <f>S106-U106</f>
        <v>-17109.478392391116</v>
      </c>
      <c r="W106" s="30">
        <f>V106/S106*100</f>
        <v>-2.2455763379637825</v>
      </c>
    </row>
    <row r="107" spans="1:23">
      <c r="A107" s="1" t="s">
        <v>31</v>
      </c>
      <c r="B107" s="3">
        <v>45717</v>
      </c>
      <c r="C107" s="1" t="s">
        <v>20</v>
      </c>
      <c r="D107" s="1">
        <f>IF(C107="East",1,0)</f>
        <v>0</v>
      </c>
      <c r="E107" s="1">
        <f>IF(C107="West",1,0)</f>
        <v>0</v>
      </c>
      <c r="F107" s="1">
        <f>IF(C107="North",1,0)</f>
        <v>1</v>
      </c>
      <c r="G107" s="1" t="s">
        <v>28</v>
      </c>
      <c r="H107" s="1">
        <f>IF(G107="Residential",1,0)</f>
        <v>0</v>
      </c>
      <c r="I107" s="1">
        <f>IF(G107="High Street",1,0)</f>
        <v>0</v>
      </c>
      <c r="J107" s="1">
        <f>IF(G107="Mall",1,0)</f>
        <v>1</v>
      </c>
      <c r="K107" s="1">
        <v>93381.26</v>
      </c>
      <c r="L107" s="1">
        <v>7562</v>
      </c>
      <c r="M107" s="1">
        <v>0.19800000000000001</v>
      </c>
      <c r="N107" s="1">
        <v>19</v>
      </c>
      <c r="O107" s="1">
        <v>82.9</v>
      </c>
      <c r="P107" s="1">
        <v>5.05</v>
      </c>
      <c r="Q107" s="1">
        <v>0</v>
      </c>
      <c r="R107" s="1">
        <v>4</v>
      </c>
      <c r="S107" s="1">
        <v>736633.4</v>
      </c>
      <c r="T107" s="1">
        <v>115654.66</v>
      </c>
      <c r="U107">
        <f>146249.7963 + (33.6835738*L107) + (1.176703422*K107) + (3062.934007*O107) + (-39654.57312*H107) + (-22957.90276*I107) + (-11306.62502*J107)</f>
        <v>753457.6337285717</v>
      </c>
      <c r="V107">
        <f>S107-U107</f>
        <v>-16824.233728571679</v>
      </c>
      <c r="W107" s="30">
        <f>V107/S107*100</f>
        <v>-2.2839357716567941</v>
      </c>
    </row>
    <row r="108" spans="1:23">
      <c r="A108" s="1" t="s">
        <v>65</v>
      </c>
      <c r="B108" s="3">
        <v>45717</v>
      </c>
      <c r="C108" s="1" t="s">
        <v>15</v>
      </c>
      <c r="D108" s="1">
        <f>IF(C108="East",1,0)</f>
        <v>1</v>
      </c>
      <c r="E108" s="1">
        <f>IF(C108="West",1,0)</f>
        <v>0</v>
      </c>
      <c r="F108" s="1">
        <f>IF(C108="North",1,0)</f>
        <v>0</v>
      </c>
      <c r="G108" s="1" t="s">
        <v>16</v>
      </c>
      <c r="H108" s="1">
        <f>IF(G108="Residential",1,0)</f>
        <v>1</v>
      </c>
      <c r="I108" s="1">
        <f>IF(G108="High Street",1,0)</f>
        <v>0</v>
      </c>
      <c r="J108" s="1">
        <f>IF(G108="Mall",1,0)</f>
        <v>0</v>
      </c>
      <c r="K108" s="1">
        <v>68040.149999999994</v>
      </c>
      <c r="L108" s="1">
        <v>9826</v>
      </c>
      <c r="M108" s="1">
        <v>0.125</v>
      </c>
      <c r="N108" s="1">
        <v>20</v>
      </c>
      <c r="O108" s="1">
        <v>83.9</v>
      </c>
      <c r="P108" s="1">
        <v>9.1199999999999992</v>
      </c>
      <c r="Q108" s="1">
        <v>0</v>
      </c>
      <c r="R108" s="1">
        <v>3.6</v>
      </c>
      <c r="S108" s="1">
        <v>758138.29</v>
      </c>
      <c r="T108" s="1">
        <v>132975.26</v>
      </c>
      <c r="U108">
        <f>146249.7963 + (33.6835738*L108) + (1.176703422*K108) + (3062.934007*O108) + (-39654.57312*H108) + (-22957.90276*I108) + (-11306.62502*J108)</f>
        <v>774613.25986449327</v>
      </c>
      <c r="V108">
        <f>S108-U108</f>
        <v>-16474.969864493236</v>
      </c>
      <c r="W108" s="30">
        <f>V108/S108*100</f>
        <v>-2.1730824154117365</v>
      </c>
    </row>
    <row r="109" spans="1:23">
      <c r="A109" s="1" t="s">
        <v>54</v>
      </c>
      <c r="B109" s="3">
        <v>45748</v>
      </c>
      <c r="C109" s="1" t="s">
        <v>15</v>
      </c>
      <c r="D109" s="1">
        <f>IF(C109="East",1,0)</f>
        <v>1</v>
      </c>
      <c r="E109" s="1">
        <f>IF(C109="West",1,0)</f>
        <v>0</v>
      </c>
      <c r="F109" s="1">
        <f>IF(C109="North",1,0)</f>
        <v>0</v>
      </c>
      <c r="G109" s="1" t="s">
        <v>18</v>
      </c>
      <c r="H109" s="1">
        <f>IF(G109="Residential",1,0)</f>
        <v>0</v>
      </c>
      <c r="I109" s="1">
        <f>IF(G109="High Street",1,0)</f>
        <v>1</v>
      </c>
      <c r="J109" s="1">
        <f>IF(G109="Mall",1,0)</f>
        <v>0</v>
      </c>
      <c r="K109" s="1">
        <v>66455.8</v>
      </c>
      <c r="L109" s="1">
        <v>10836</v>
      </c>
      <c r="M109" s="1">
        <v>8.8999999999999996E-2</v>
      </c>
      <c r="N109" s="1">
        <v>25</v>
      </c>
      <c r="O109" s="1">
        <v>85</v>
      </c>
      <c r="P109" s="1">
        <v>9.77</v>
      </c>
      <c r="Q109" s="1">
        <v>0</v>
      </c>
      <c r="R109" s="1">
        <v>4.5</v>
      </c>
      <c r="S109" s="1">
        <v>811452.72</v>
      </c>
      <c r="T109" s="1">
        <v>131325.67000000001</v>
      </c>
      <c r="U109">
        <f>146249.7963 + (33.6835738*L109) + (1.176703422*K109) + (3062.934007*O109) + (-39654.57312*H109) + (-22957.90276*I109) + (-11306.62502*J109)</f>
        <v>826835.25710354757</v>
      </c>
      <c r="V109">
        <f>S109-U109</f>
        <v>-15382.537103547598</v>
      </c>
      <c r="W109" s="30">
        <f>V109/S109*100</f>
        <v>-1.8956787899543426</v>
      </c>
    </row>
    <row r="110" spans="1:23">
      <c r="A110" s="1" t="s">
        <v>63</v>
      </c>
      <c r="B110" s="3">
        <v>45717</v>
      </c>
      <c r="C110" s="1" t="s">
        <v>20</v>
      </c>
      <c r="D110" s="1">
        <f>IF(C110="East",1,0)</f>
        <v>0</v>
      </c>
      <c r="E110" s="1">
        <f>IF(C110="West",1,0)</f>
        <v>0</v>
      </c>
      <c r="F110" s="1">
        <f>IF(C110="North",1,0)</f>
        <v>1</v>
      </c>
      <c r="G110" s="1" t="s">
        <v>28</v>
      </c>
      <c r="H110" s="1">
        <f>IF(G110="Residential",1,0)</f>
        <v>0</v>
      </c>
      <c r="I110" s="1">
        <f>IF(G110="High Street",1,0)</f>
        <v>0</v>
      </c>
      <c r="J110" s="1">
        <f>IF(G110="Mall",1,0)</f>
        <v>1</v>
      </c>
      <c r="K110" s="1">
        <v>30301.86</v>
      </c>
      <c r="L110" s="1">
        <v>6939</v>
      </c>
      <c r="M110" s="1">
        <v>0.09</v>
      </c>
      <c r="N110" s="1">
        <v>16</v>
      </c>
      <c r="O110" s="1">
        <v>90.3</v>
      </c>
      <c r="P110" s="1">
        <v>3.49</v>
      </c>
      <c r="Q110" s="1">
        <v>0</v>
      </c>
      <c r="R110" s="1">
        <v>4</v>
      </c>
      <c r="S110" s="1">
        <v>665534.69999999995</v>
      </c>
      <c r="T110" s="1">
        <v>113167.73</v>
      </c>
      <c r="U110">
        <f>146249.7963 + (33.6835738*L110) + (1.176703422*K110) + (3062.934007*O110) + (-39654.57312*H110) + (-22957.90276*I110) + (-11306.62502*J110)</f>
        <v>680912.73306526488</v>
      </c>
      <c r="V110">
        <f>S110-U110</f>
        <v>-15378.033065264928</v>
      </c>
      <c r="W110" s="30">
        <f>V110/S110*100</f>
        <v>-2.3106282910966067</v>
      </c>
    </row>
    <row r="111" spans="1:23">
      <c r="A111" s="1" t="s">
        <v>23</v>
      </c>
      <c r="B111" s="3">
        <v>45689</v>
      </c>
      <c r="C111" s="1" t="s">
        <v>24</v>
      </c>
      <c r="D111" s="1">
        <f>IF(C111="East",1,0)</f>
        <v>0</v>
      </c>
      <c r="E111" s="1">
        <f>IF(C111="West",1,0)</f>
        <v>0</v>
      </c>
      <c r="F111" s="1">
        <f>IF(C111="North",1,0)</f>
        <v>0</v>
      </c>
      <c r="G111" s="1" t="s">
        <v>16</v>
      </c>
      <c r="H111" s="1">
        <f>IF(G111="Residential",1,0)</f>
        <v>1</v>
      </c>
      <c r="I111" s="1">
        <f>IF(G111="High Street",1,0)</f>
        <v>0</v>
      </c>
      <c r="J111" s="1">
        <f>IF(G111="Mall",1,0)</f>
        <v>0</v>
      </c>
      <c r="K111" s="1">
        <v>59117.9</v>
      </c>
      <c r="L111" s="1">
        <v>4263</v>
      </c>
      <c r="M111" s="1">
        <v>0.11899999999999999</v>
      </c>
      <c r="N111" s="1">
        <v>9</v>
      </c>
      <c r="O111" s="1">
        <v>87.6</v>
      </c>
      <c r="P111" s="1">
        <v>4.01</v>
      </c>
      <c r="Q111" s="1">
        <v>0</v>
      </c>
      <c r="R111" s="1">
        <v>3.6</v>
      </c>
      <c r="S111" s="1">
        <v>573155.18999999994</v>
      </c>
      <c r="T111" s="1">
        <v>83680.75</v>
      </c>
      <c r="U111">
        <f>146249.7963 + (33.6835738*L111) + (1.176703422*K111) + (3062.934007*O111) + (-39654.57312*H111) + (-22957.90276*I111) + (-11306.62502*J111)</f>
        <v>588065.5525340538</v>
      </c>
      <c r="V111">
        <f>S111-U111</f>
        <v>-14910.362534053857</v>
      </c>
      <c r="W111" s="30">
        <f>V111/S111*100</f>
        <v>-2.6014529387850187</v>
      </c>
    </row>
    <row r="112" spans="1:23">
      <c r="A112" s="1" t="s">
        <v>65</v>
      </c>
      <c r="B112" s="3">
        <v>45748</v>
      </c>
      <c r="C112" s="1" t="s">
        <v>15</v>
      </c>
      <c r="D112" s="1">
        <f>IF(C112="East",1,0)</f>
        <v>1</v>
      </c>
      <c r="E112" s="1">
        <f>IF(C112="West",1,0)</f>
        <v>0</v>
      </c>
      <c r="F112" s="1">
        <f>IF(C112="North",1,0)</f>
        <v>0</v>
      </c>
      <c r="G112" s="1" t="s">
        <v>16</v>
      </c>
      <c r="H112" s="1">
        <f>IF(G112="Residential",1,0)</f>
        <v>1</v>
      </c>
      <c r="I112" s="1">
        <f>IF(G112="High Street",1,0)</f>
        <v>0</v>
      </c>
      <c r="J112" s="1">
        <f>IF(G112="Mall",1,0)</f>
        <v>0</v>
      </c>
      <c r="K112" s="1">
        <v>63043.94</v>
      </c>
      <c r="L112" s="1">
        <v>10402</v>
      </c>
      <c r="M112" s="1">
        <v>0.159</v>
      </c>
      <c r="N112" s="1">
        <v>23</v>
      </c>
      <c r="O112" s="1">
        <v>93.9</v>
      </c>
      <c r="P112" s="1">
        <v>2.71</v>
      </c>
      <c r="Q112" s="1">
        <v>0</v>
      </c>
      <c r="R112" s="1">
        <v>3.1</v>
      </c>
      <c r="S112" s="1">
        <v>804264</v>
      </c>
      <c r="T112" s="1">
        <v>167117.91</v>
      </c>
      <c r="U112">
        <f>146249.7963 + (33.6835738*L112) + (1.176703422*K112) + (3062.934007*O112) + (-39654.57312*H112) + (-22957.90276*I112) + (-11306.62502*J112)</f>
        <v>818765.28103926277</v>
      </c>
      <c r="V112">
        <f>S112-U112</f>
        <v>-14501.281039262773</v>
      </c>
      <c r="W112" s="30">
        <f>V112/S112*100</f>
        <v>-1.8030498740790053</v>
      </c>
    </row>
    <row r="113" spans="1:23">
      <c r="A113" s="1" t="s">
        <v>61</v>
      </c>
      <c r="B113" s="3">
        <v>45658</v>
      </c>
      <c r="C113" s="1" t="s">
        <v>20</v>
      </c>
      <c r="D113" s="1">
        <f>IF(C113="East",1,0)</f>
        <v>0</v>
      </c>
      <c r="E113" s="1">
        <f>IF(C113="West",1,0)</f>
        <v>0</v>
      </c>
      <c r="F113" s="1">
        <f>IF(C113="North",1,0)</f>
        <v>1</v>
      </c>
      <c r="G113" s="1" t="s">
        <v>28</v>
      </c>
      <c r="H113" s="1">
        <f>IF(G113="Residential",1,0)</f>
        <v>0</v>
      </c>
      <c r="I113" s="1">
        <f>IF(G113="High Street",1,0)</f>
        <v>0</v>
      </c>
      <c r="J113" s="1">
        <f>IF(G113="Mall",1,0)</f>
        <v>1</v>
      </c>
      <c r="K113" s="1">
        <v>86883.31</v>
      </c>
      <c r="L113" s="1">
        <v>6424</v>
      </c>
      <c r="M113" s="1">
        <v>5.7000000000000002E-2</v>
      </c>
      <c r="N113" s="1">
        <v>19</v>
      </c>
      <c r="O113" s="1">
        <v>85.2</v>
      </c>
      <c r="P113" s="1">
        <v>3.08</v>
      </c>
      <c r="Q113" s="1">
        <v>0</v>
      </c>
      <c r="R113" s="1">
        <v>3.9</v>
      </c>
      <c r="S113" s="1">
        <v>700078.32</v>
      </c>
      <c r="T113" s="1">
        <v>123707.58</v>
      </c>
      <c r="U113">
        <f>146249.7963 + (33.6835738*L113) + (1.176703422*K113) + (3062.934007*O113) + (-39654.57312*H113) + (-22957.90276*I113) + (-11306.62502*J113)</f>
        <v>714524.31495928683</v>
      </c>
      <c r="V113">
        <f>S113-U113</f>
        <v>-14445.99495928688</v>
      </c>
      <c r="W113" s="30">
        <f>V113/S113*100</f>
        <v>-2.0634826913775708</v>
      </c>
    </row>
    <row r="114" spans="1:23">
      <c r="A114" s="1" t="s">
        <v>74</v>
      </c>
      <c r="B114" s="3">
        <v>45748</v>
      </c>
      <c r="C114" s="1" t="s">
        <v>15</v>
      </c>
      <c r="D114" s="1">
        <f>IF(C114="East",1,0)</f>
        <v>1</v>
      </c>
      <c r="E114" s="1">
        <f>IF(C114="West",1,0)</f>
        <v>0</v>
      </c>
      <c r="F114" s="1">
        <f>IF(C114="North",1,0)</f>
        <v>0</v>
      </c>
      <c r="G114" s="1" t="s">
        <v>18</v>
      </c>
      <c r="H114" s="1">
        <f>IF(G114="Residential",1,0)</f>
        <v>0</v>
      </c>
      <c r="I114" s="1">
        <f>IF(G114="High Street",1,0)</f>
        <v>1</v>
      </c>
      <c r="J114" s="1">
        <f>IF(G114="Mall",1,0)</f>
        <v>0</v>
      </c>
      <c r="K114" s="1">
        <v>49405.75</v>
      </c>
      <c r="L114" s="1">
        <v>9752</v>
      </c>
      <c r="M114" s="1">
        <v>9.2999999999999999E-2</v>
      </c>
      <c r="N114" s="1">
        <v>21</v>
      </c>
      <c r="O114" s="1">
        <v>87</v>
      </c>
      <c r="P114" s="1">
        <v>12.28</v>
      </c>
      <c r="Q114" s="1">
        <v>0</v>
      </c>
      <c r="R114" s="1">
        <v>4.0999999999999996</v>
      </c>
      <c r="S114" s="1">
        <v>761963.23</v>
      </c>
      <c r="T114" s="1">
        <v>150113.60999999999</v>
      </c>
      <c r="U114">
        <f>146249.7963 + (33.6835738*L114) + (1.176703422*K114) + (3062.934007*O114) + (-39654.57312*H114) + (-22957.90276*I114) + (-11306.62502*J114)</f>
        <v>776385.27893807646</v>
      </c>
      <c r="V114">
        <f>S114-U114</f>
        <v>-14422.048938076477</v>
      </c>
      <c r="W114" s="30">
        <f>V114/S114*100</f>
        <v>-1.8927486747722038</v>
      </c>
    </row>
    <row r="115" spans="1:23">
      <c r="A115" s="1" t="s">
        <v>99</v>
      </c>
      <c r="B115" s="3">
        <v>45658</v>
      </c>
      <c r="C115" s="1" t="s">
        <v>24</v>
      </c>
      <c r="D115" s="1">
        <f>IF(C115="East",1,0)</f>
        <v>0</v>
      </c>
      <c r="E115" s="1">
        <f>IF(C115="West",1,0)</f>
        <v>0</v>
      </c>
      <c r="F115" s="1">
        <f>IF(C115="North",1,0)</f>
        <v>0</v>
      </c>
      <c r="G115" s="1" t="s">
        <v>18</v>
      </c>
      <c r="H115" s="1">
        <f>IF(G115="Residential",1,0)</f>
        <v>0</v>
      </c>
      <c r="I115" s="1">
        <f>IF(G115="High Street",1,0)</f>
        <v>1</v>
      </c>
      <c r="J115" s="1">
        <f>IF(G115="Mall",1,0)</f>
        <v>0</v>
      </c>
      <c r="K115" s="1">
        <v>48465.599999999999</v>
      </c>
      <c r="L115" s="1">
        <v>5759</v>
      </c>
      <c r="M115" s="1">
        <v>0.154</v>
      </c>
      <c r="N115" s="1">
        <v>13</v>
      </c>
      <c r="O115" s="1">
        <v>87.5</v>
      </c>
      <c r="P115" s="1">
        <v>4.1399999999999997</v>
      </c>
      <c r="Q115" s="1">
        <v>0</v>
      </c>
      <c r="R115" s="1">
        <v>4</v>
      </c>
      <c r="S115" s="1">
        <v>628538.30000000005</v>
      </c>
      <c r="T115" s="1">
        <v>112509.15</v>
      </c>
      <c r="U115">
        <f>146249.7963 + (33.6835738*L115) + (1.176703422*K115) + (3062.934007*O115) + (-39654.57312*H115) + (-22957.90276*I115) + (-11306.62502*J115)</f>
        <v>642311.95803598315</v>
      </c>
      <c r="V115">
        <f>S115-U115</f>
        <v>-13773.658035983099</v>
      </c>
      <c r="W115" s="30">
        <f>V115/S115*100</f>
        <v>-2.1913792741004166</v>
      </c>
    </row>
    <row r="116" spans="1:23">
      <c r="A116" s="1" t="s">
        <v>90</v>
      </c>
      <c r="B116" s="3">
        <v>45717</v>
      </c>
      <c r="C116" s="1" t="s">
        <v>27</v>
      </c>
      <c r="D116" s="1">
        <f>IF(C116="East",1,0)</f>
        <v>0</v>
      </c>
      <c r="E116" s="1">
        <f>IF(C116="West",1,0)</f>
        <v>1</v>
      </c>
      <c r="F116" s="1">
        <f>IF(C116="North",1,0)</f>
        <v>0</v>
      </c>
      <c r="G116" s="1" t="s">
        <v>18</v>
      </c>
      <c r="H116" s="1">
        <f>IF(G116="Residential",1,0)</f>
        <v>0</v>
      </c>
      <c r="I116" s="1">
        <f>IF(G116="High Street",1,0)</f>
        <v>1</v>
      </c>
      <c r="J116" s="1">
        <f>IF(G116="Mall",1,0)</f>
        <v>0</v>
      </c>
      <c r="K116" s="1">
        <v>47648.71</v>
      </c>
      <c r="L116" s="1">
        <v>5767</v>
      </c>
      <c r="M116" s="1">
        <v>0.14099999999999999</v>
      </c>
      <c r="N116" s="1">
        <v>17</v>
      </c>
      <c r="O116" s="1">
        <v>89.8</v>
      </c>
      <c r="P116" s="1">
        <v>1.76</v>
      </c>
      <c r="Q116" s="1">
        <v>0</v>
      </c>
      <c r="R116" s="1">
        <v>3.1</v>
      </c>
      <c r="S116" s="1">
        <v>635837.74</v>
      </c>
      <c r="T116" s="1">
        <v>114740.64</v>
      </c>
      <c r="U116">
        <f>146249.7963 + (33.6835738*L116) + (1.176703422*K116) + (3062.934007*O116) + (-39654.57312*H116) + (-22957.90276*I116) + (-11306.62502*J116)</f>
        <v>648664.93758408562</v>
      </c>
      <c r="V116">
        <f>S116-U116</f>
        <v>-12827.197584085632</v>
      </c>
      <c r="W116" s="30">
        <f>V116/S116*100</f>
        <v>-2.0173696490689013</v>
      </c>
    </row>
    <row r="117" spans="1:23">
      <c r="A117" s="1" t="s">
        <v>97</v>
      </c>
      <c r="B117" s="3">
        <v>45717</v>
      </c>
      <c r="C117" s="1" t="s">
        <v>20</v>
      </c>
      <c r="D117" s="1">
        <f>IF(C117="East",1,0)</f>
        <v>0</v>
      </c>
      <c r="E117" s="1">
        <f>IF(C117="West",1,0)</f>
        <v>0</v>
      </c>
      <c r="F117" s="1">
        <f>IF(C117="North",1,0)</f>
        <v>1</v>
      </c>
      <c r="G117" s="1" t="s">
        <v>28</v>
      </c>
      <c r="H117" s="1">
        <f>IF(G117="Residential",1,0)</f>
        <v>0</v>
      </c>
      <c r="I117" s="1">
        <f>IF(G117="High Street",1,0)</f>
        <v>0</v>
      </c>
      <c r="J117" s="1">
        <f>IF(G117="Mall",1,0)</f>
        <v>1</v>
      </c>
      <c r="K117" s="1">
        <v>52843.75</v>
      </c>
      <c r="L117" s="1">
        <v>8268</v>
      </c>
      <c r="M117" s="1">
        <v>0.13800000000000001</v>
      </c>
      <c r="N117" s="1">
        <v>19</v>
      </c>
      <c r="O117" s="1">
        <v>87.3</v>
      </c>
      <c r="P117" s="1">
        <v>4.3899999999999997</v>
      </c>
      <c r="Q117" s="1">
        <v>1</v>
      </c>
      <c r="R117" s="1">
        <v>4.7</v>
      </c>
      <c r="S117" s="1">
        <v>730890.01</v>
      </c>
      <c r="T117" s="1">
        <v>105502.56</v>
      </c>
      <c r="U117">
        <f>146249.7963 + (33.6835738*L117) + (1.176703422*K117) + (3062.934007*O117) + (-39654.57312*H117) + (-22957.90276*I117) + (-11306.62502*J117)</f>
        <v>743014.51972581248</v>
      </c>
      <c r="V117">
        <f>S117-U117</f>
        <v>-12124.509725812473</v>
      </c>
      <c r="W117" s="30">
        <f>V117/S117*100</f>
        <v>-1.6588692634904769</v>
      </c>
    </row>
    <row r="118" spans="1:23">
      <c r="A118" s="1" t="s">
        <v>77</v>
      </c>
      <c r="B118" s="3">
        <v>45717</v>
      </c>
      <c r="C118" s="1" t="s">
        <v>15</v>
      </c>
      <c r="D118" s="1">
        <f>IF(C118="East",1,0)</f>
        <v>1</v>
      </c>
      <c r="E118" s="1">
        <f>IF(C118="West",1,0)</f>
        <v>0</v>
      </c>
      <c r="F118" s="1">
        <f>IF(C118="North",1,0)</f>
        <v>0</v>
      </c>
      <c r="G118" s="1" t="s">
        <v>18</v>
      </c>
      <c r="H118" s="1">
        <f>IF(G118="Residential",1,0)</f>
        <v>0</v>
      </c>
      <c r="I118" s="1">
        <f>IF(G118="High Street",1,0)</f>
        <v>1</v>
      </c>
      <c r="J118" s="1">
        <f>IF(G118="Mall",1,0)</f>
        <v>0</v>
      </c>
      <c r="K118" s="1">
        <v>66962.740000000005</v>
      </c>
      <c r="L118" s="1">
        <v>7880</v>
      </c>
      <c r="M118" s="1">
        <v>0.11600000000000001</v>
      </c>
      <c r="N118" s="1">
        <v>19</v>
      </c>
      <c r="O118" s="1">
        <v>90.4</v>
      </c>
      <c r="P118" s="1">
        <v>4.5</v>
      </c>
      <c r="Q118" s="1">
        <v>0</v>
      </c>
      <c r="R118" s="1">
        <v>3.3</v>
      </c>
      <c r="S118" s="1">
        <v>732667.92</v>
      </c>
      <c r="T118" s="1">
        <v>128654.46</v>
      </c>
      <c r="U118">
        <f>146249.7963 + (33.6835738*L118) + (1.176703422*K118) + (3062.934007*O118) + (-39654.57312*H118) + (-22957.90276*I118) + (-11306.62502*J118)</f>
        <v>744402.97462129639</v>
      </c>
      <c r="V118">
        <f>S118-U118</f>
        <v>-11735.054621296353</v>
      </c>
      <c r="W118" s="30">
        <f>V118/S118*100</f>
        <v>-1.6016880637132784</v>
      </c>
    </row>
    <row r="119" spans="1:23">
      <c r="A119" s="1" t="s">
        <v>37</v>
      </c>
      <c r="B119" s="3">
        <v>45717</v>
      </c>
      <c r="C119" s="1" t="s">
        <v>24</v>
      </c>
      <c r="D119" s="1">
        <f>IF(C119="East",1,0)</f>
        <v>0</v>
      </c>
      <c r="E119" s="1">
        <f>IF(C119="West",1,0)</f>
        <v>0</v>
      </c>
      <c r="F119" s="1">
        <f>IF(C119="North",1,0)</f>
        <v>0</v>
      </c>
      <c r="G119" s="1" t="s">
        <v>18</v>
      </c>
      <c r="H119" s="1">
        <f>IF(G119="Residential",1,0)</f>
        <v>0</v>
      </c>
      <c r="I119" s="1">
        <f>IF(G119="High Street",1,0)</f>
        <v>1</v>
      </c>
      <c r="J119" s="1">
        <f>IF(G119="Mall",1,0)</f>
        <v>0</v>
      </c>
      <c r="K119" s="1">
        <v>50343.19</v>
      </c>
      <c r="L119" s="1">
        <v>3845</v>
      </c>
      <c r="M119" s="1">
        <v>0.113</v>
      </c>
      <c r="N119" s="1">
        <v>9</v>
      </c>
      <c r="O119" s="1">
        <v>88.7</v>
      </c>
      <c r="P119" s="1">
        <v>5.15</v>
      </c>
      <c r="Q119" s="1">
        <v>0</v>
      </c>
      <c r="R119" s="1">
        <v>3.3</v>
      </c>
      <c r="S119" s="1">
        <v>572011.19999999995</v>
      </c>
      <c r="T119" s="1">
        <v>101409.68</v>
      </c>
      <c r="U119">
        <f>146249.7963 + (33.6835738*L119) + (1.176703422*K119) + (3062.934007*O119) + (-39654.57312*H119) + (-22957.90276*I119) + (-11306.62502*J119)</f>
        <v>583726.48516929615</v>
      </c>
      <c r="V119">
        <f>S119-U119</f>
        <v>-11715.285169296199</v>
      </c>
      <c r="W119" s="30">
        <f>V119/S119*100</f>
        <v>-2.0480866754525437</v>
      </c>
    </row>
    <row r="120" spans="1:23">
      <c r="A120" s="1" t="s">
        <v>26</v>
      </c>
      <c r="B120" s="3">
        <v>45717</v>
      </c>
      <c r="C120" s="1" t="s">
        <v>27</v>
      </c>
      <c r="D120" s="1">
        <f>IF(C120="East",1,0)</f>
        <v>0</v>
      </c>
      <c r="E120" s="1">
        <f>IF(C120="West",1,0)</f>
        <v>1</v>
      </c>
      <c r="F120" s="1">
        <f>IF(C120="North",1,0)</f>
        <v>0</v>
      </c>
      <c r="G120" s="1" t="s">
        <v>28</v>
      </c>
      <c r="H120" s="1">
        <f>IF(G120="Residential",1,0)</f>
        <v>0</v>
      </c>
      <c r="I120" s="1">
        <f>IF(G120="High Street",1,0)</f>
        <v>0</v>
      </c>
      <c r="J120" s="1">
        <f>IF(G120="Mall",1,0)</f>
        <v>1</v>
      </c>
      <c r="K120" s="1">
        <v>55270.52</v>
      </c>
      <c r="L120" s="1">
        <v>9315</v>
      </c>
      <c r="M120" s="1">
        <v>0.16900000000000001</v>
      </c>
      <c r="N120" s="1">
        <v>23</v>
      </c>
      <c r="O120" s="1">
        <v>91.9</v>
      </c>
      <c r="P120" s="1">
        <v>4.9400000000000004</v>
      </c>
      <c r="Q120" s="1">
        <v>0</v>
      </c>
      <c r="R120" s="1">
        <v>4</v>
      </c>
      <c r="S120" s="1">
        <v>783672.82</v>
      </c>
      <c r="T120" s="1">
        <v>112577.14</v>
      </c>
      <c r="U120">
        <f>146249.7963 + (33.6835738*L120) + (1.176703422*K120) + (3062.934007*O120) + (-39654.57312*H120) + (-22957.90276*I120) + (-11306.62502*J120)</f>
        <v>795226.30649001943</v>
      </c>
      <c r="V120">
        <f>S120-U120</f>
        <v>-11553.486490019481</v>
      </c>
      <c r="W120" s="30">
        <f>V120/S120*100</f>
        <v>-1.4742742373047315</v>
      </c>
    </row>
    <row r="121" spans="1:23">
      <c r="A121" s="1" t="s">
        <v>84</v>
      </c>
      <c r="B121" s="3">
        <v>45689</v>
      </c>
      <c r="C121" s="1" t="s">
        <v>20</v>
      </c>
      <c r="D121" s="1">
        <f>IF(C121="East",1,0)</f>
        <v>0</v>
      </c>
      <c r="E121" s="1">
        <f>IF(C121="West",1,0)</f>
        <v>0</v>
      </c>
      <c r="F121" s="1">
        <f>IF(C121="North",1,0)</f>
        <v>1</v>
      </c>
      <c r="G121" s="1" t="s">
        <v>18</v>
      </c>
      <c r="H121" s="1">
        <f>IF(G121="Residential",1,0)</f>
        <v>0</v>
      </c>
      <c r="I121" s="1">
        <f>IF(G121="High Street",1,0)</f>
        <v>1</v>
      </c>
      <c r="J121" s="1">
        <f>IF(G121="Mall",1,0)</f>
        <v>0</v>
      </c>
      <c r="K121" s="1">
        <v>72932.55</v>
      </c>
      <c r="L121" s="1">
        <v>5765</v>
      </c>
      <c r="M121" s="1">
        <v>2.5999999999999999E-2</v>
      </c>
      <c r="N121" s="1">
        <v>17</v>
      </c>
      <c r="O121" s="1">
        <v>81.8</v>
      </c>
      <c r="P121" s="1">
        <v>5.0999999999999996</v>
      </c>
      <c r="Q121" s="1">
        <v>0</v>
      </c>
      <c r="R121" s="1">
        <v>3.6</v>
      </c>
      <c r="S121" s="1">
        <v>642751.42000000004</v>
      </c>
      <c r="T121" s="1">
        <v>131942.15</v>
      </c>
      <c r="U121">
        <f>146249.7963 + (33.6835738*L121) + (1.176703422*K121) + (3062.934007*O121) + (-39654.57312*H121) + (-22957.90276*I121) + (-11306.62502*J121)</f>
        <v>653845.67942978605</v>
      </c>
      <c r="V121">
        <f>S121-U121</f>
        <v>-11094.259429786005</v>
      </c>
      <c r="W121" s="30">
        <f>V121/S121*100</f>
        <v>-1.726057552667251</v>
      </c>
    </row>
    <row r="122" spans="1:23">
      <c r="A122" s="1" t="s">
        <v>99</v>
      </c>
      <c r="B122" s="3">
        <v>45717</v>
      </c>
      <c r="C122" s="1" t="s">
        <v>24</v>
      </c>
      <c r="D122" s="1">
        <f>IF(C122="East",1,0)</f>
        <v>0</v>
      </c>
      <c r="E122" s="1">
        <f>IF(C122="West",1,0)</f>
        <v>0</v>
      </c>
      <c r="F122" s="1">
        <f>IF(C122="North",1,0)</f>
        <v>0</v>
      </c>
      <c r="G122" s="1" t="s">
        <v>18</v>
      </c>
      <c r="H122" s="1">
        <f>IF(G122="Residential",1,0)</f>
        <v>0</v>
      </c>
      <c r="I122" s="1">
        <f>IF(G122="High Street",1,0)</f>
        <v>1</v>
      </c>
      <c r="J122" s="1">
        <f>IF(G122="Mall",1,0)</f>
        <v>0</v>
      </c>
      <c r="K122" s="1">
        <v>54322.94</v>
      </c>
      <c r="L122" s="1">
        <v>5434</v>
      </c>
      <c r="M122" s="1">
        <v>0.2</v>
      </c>
      <c r="N122" s="1">
        <v>13</v>
      </c>
      <c r="O122" s="1">
        <v>85.7</v>
      </c>
      <c r="P122" s="1">
        <v>10.6</v>
      </c>
      <c r="Q122" s="1">
        <v>0</v>
      </c>
      <c r="R122" s="1">
        <v>4.2</v>
      </c>
      <c r="S122" s="1">
        <v>621677.30000000005</v>
      </c>
      <c r="T122" s="1">
        <v>105192.52</v>
      </c>
      <c r="U122">
        <f>146249.7963 + (33.6835738*L122) + (1.176703422*K122) + (3062.934007*O122) + (-39654.57312*H122) + (-22957.90276*I122) + (-11306.62502*J122)</f>
        <v>632743.86736020073</v>
      </c>
      <c r="V122">
        <f>S122-U122</f>
        <v>-11066.567360200686</v>
      </c>
      <c r="W122" s="30">
        <f>V122/S122*100</f>
        <v>-1.7801144356084233</v>
      </c>
    </row>
    <row r="123" spans="1:23">
      <c r="A123" s="1" t="s">
        <v>29</v>
      </c>
      <c r="B123" s="3">
        <v>45717</v>
      </c>
      <c r="C123" s="1" t="s">
        <v>15</v>
      </c>
      <c r="D123" s="1">
        <f>IF(C123="East",1,0)</f>
        <v>1</v>
      </c>
      <c r="E123" s="1">
        <f>IF(C123="West",1,0)</f>
        <v>0</v>
      </c>
      <c r="F123" s="1">
        <f>IF(C123="North",1,0)</f>
        <v>0</v>
      </c>
      <c r="G123" s="1" t="s">
        <v>16</v>
      </c>
      <c r="H123" s="1">
        <f>IF(G123="Residential",1,0)</f>
        <v>1</v>
      </c>
      <c r="I123" s="1">
        <f>IF(G123="High Street",1,0)</f>
        <v>0</v>
      </c>
      <c r="J123" s="1">
        <f>IF(G123="Mall",1,0)</f>
        <v>0</v>
      </c>
      <c r="K123" s="1">
        <v>44970.080000000002</v>
      </c>
      <c r="L123" s="1">
        <v>2471</v>
      </c>
      <c r="M123" s="1">
        <v>0.13600000000000001</v>
      </c>
      <c r="N123" s="1">
        <v>11</v>
      </c>
      <c r="O123" s="1">
        <v>87.6</v>
      </c>
      <c r="P123" s="1">
        <v>3.01</v>
      </c>
      <c r="Q123" s="1">
        <v>1</v>
      </c>
      <c r="R123" s="1">
        <v>3.7</v>
      </c>
      <c r="S123" s="1">
        <v>500173.02</v>
      </c>
      <c r="T123" s="1">
        <v>70982.05</v>
      </c>
      <c r="U123">
        <f>146249.7963 + (33.6835738*L123) + (1.176703422*K123) + (3062.934007*O123) + (-39654.57312*H123) + (-22957.90276*I123) + (-11306.62502*J123)</f>
        <v>511056.80007661373</v>
      </c>
      <c r="V123">
        <f>S123-U123</f>
        <v>-10883.780076613708</v>
      </c>
      <c r="W123" s="30">
        <f>V123/S123*100</f>
        <v>-2.1760030312338134</v>
      </c>
    </row>
    <row r="124" spans="1:23">
      <c r="A124" s="1" t="s">
        <v>76</v>
      </c>
      <c r="B124" s="3">
        <v>45748</v>
      </c>
      <c r="C124" s="1" t="s">
        <v>20</v>
      </c>
      <c r="D124" s="1">
        <f>IF(C124="East",1,0)</f>
        <v>0</v>
      </c>
      <c r="E124" s="1">
        <f>IF(C124="West",1,0)</f>
        <v>0</v>
      </c>
      <c r="F124" s="1">
        <f>IF(C124="North",1,0)</f>
        <v>1</v>
      </c>
      <c r="G124" s="1" t="s">
        <v>21</v>
      </c>
      <c r="H124" s="1">
        <f>IF(G124="Residential",1,0)</f>
        <v>0</v>
      </c>
      <c r="I124" s="1">
        <f>IF(G124="High Street",1,0)</f>
        <v>0</v>
      </c>
      <c r="J124" s="1">
        <f>IF(G124="Mall",1,0)</f>
        <v>0</v>
      </c>
      <c r="K124" s="1">
        <v>16451.849999999999</v>
      </c>
      <c r="L124" s="1">
        <v>4678</v>
      </c>
      <c r="M124" s="1">
        <v>0.13300000000000001</v>
      </c>
      <c r="N124" s="1">
        <v>11</v>
      </c>
      <c r="O124" s="1">
        <v>95.9</v>
      </c>
      <c r="P124" s="1">
        <v>3.1</v>
      </c>
      <c r="Q124" s="1">
        <v>0</v>
      </c>
      <c r="R124" s="1">
        <v>3.9</v>
      </c>
      <c r="S124" s="1">
        <v>606278.30000000005</v>
      </c>
      <c r="T124" s="1">
        <v>102213.26</v>
      </c>
      <c r="U124">
        <f>146249.7963 + (33.6835738*L124) + (1.176703422*K124) + (3062.934007*O124) + (-39654.57312*H124) + (-22957.90276*I124) + (-11306.62502*J124)</f>
        <v>616915.87400093069</v>
      </c>
      <c r="V124">
        <f>S124-U124</f>
        <v>-10637.574000930646</v>
      </c>
      <c r="W124" s="30">
        <f>V124/S124*100</f>
        <v>-1.7545694775700609</v>
      </c>
    </row>
    <row r="125" spans="1:23">
      <c r="A125" s="1" t="s">
        <v>97</v>
      </c>
      <c r="B125" s="3">
        <v>45689</v>
      </c>
      <c r="C125" s="1" t="s">
        <v>20</v>
      </c>
      <c r="D125" s="1">
        <f>IF(C125="East",1,0)</f>
        <v>0</v>
      </c>
      <c r="E125" s="1">
        <f>IF(C125="West",1,0)</f>
        <v>0</v>
      </c>
      <c r="F125" s="1">
        <f>IF(C125="North",1,0)</f>
        <v>1</v>
      </c>
      <c r="G125" s="1" t="s">
        <v>28</v>
      </c>
      <c r="H125" s="1">
        <f>IF(G125="Residential",1,0)</f>
        <v>0</v>
      </c>
      <c r="I125" s="1">
        <f>IF(G125="High Street",1,0)</f>
        <v>0</v>
      </c>
      <c r="J125" s="1">
        <f>IF(G125="Mall",1,0)</f>
        <v>1</v>
      </c>
      <c r="K125" s="1">
        <v>63986.98</v>
      </c>
      <c r="L125" s="1">
        <v>7989</v>
      </c>
      <c r="M125" s="1">
        <v>7.3999999999999996E-2</v>
      </c>
      <c r="N125" s="1">
        <v>20</v>
      </c>
      <c r="O125" s="1">
        <v>83.3</v>
      </c>
      <c r="P125" s="1">
        <v>3.6</v>
      </c>
      <c r="Q125" s="1">
        <v>0</v>
      </c>
      <c r="R125" s="1">
        <v>3.7</v>
      </c>
      <c r="S125" s="1">
        <v>724346.73</v>
      </c>
      <c r="T125" s="1">
        <v>155013.91</v>
      </c>
      <c r="U125">
        <f>146249.7963 + (33.6835738*L125) + (1.176703422*K125) + (3062.934007*O125) + (-39654.57312*H125) + (-22957.90276*I125) + (-11306.62502*J125)</f>
        <v>734477.34348074545</v>
      </c>
      <c r="V125">
        <f>S125-U125</f>
        <v>-10130.613480745465</v>
      </c>
      <c r="W125" s="30">
        <f>V125/S125*100</f>
        <v>-1.3985862103285074</v>
      </c>
    </row>
    <row r="126" spans="1:23">
      <c r="A126" s="1" t="s">
        <v>46</v>
      </c>
      <c r="B126" s="3">
        <v>45658</v>
      </c>
      <c r="C126" s="1" t="s">
        <v>27</v>
      </c>
      <c r="D126" s="1">
        <f>IF(C126="East",1,0)</f>
        <v>0</v>
      </c>
      <c r="E126" s="1">
        <f>IF(C126="West",1,0)</f>
        <v>1</v>
      </c>
      <c r="F126" s="1">
        <f>IF(C126="North",1,0)</f>
        <v>0</v>
      </c>
      <c r="G126" s="1" t="s">
        <v>28</v>
      </c>
      <c r="H126" s="1">
        <f>IF(G126="Residential",1,0)</f>
        <v>0</v>
      </c>
      <c r="I126" s="1">
        <f>IF(G126="High Street",1,0)</f>
        <v>0</v>
      </c>
      <c r="J126" s="1">
        <f>IF(G126="Mall",1,0)</f>
        <v>1</v>
      </c>
      <c r="K126" s="1">
        <v>61132.07</v>
      </c>
      <c r="L126" s="1">
        <v>6394</v>
      </c>
      <c r="M126" s="1">
        <v>0.16300000000000001</v>
      </c>
      <c r="N126" s="1">
        <v>19</v>
      </c>
      <c r="O126" s="1">
        <v>91</v>
      </c>
      <c r="P126" s="1">
        <v>19.600000000000001</v>
      </c>
      <c r="Q126" s="1">
        <v>0</v>
      </c>
      <c r="R126" s="1">
        <v>4.4000000000000004</v>
      </c>
      <c r="S126" s="1">
        <v>691113.62</v>
      </c>
      <c r="T126" s="1">
        <v>135145.44</v>
      </c>
      <c r="U126">
        <f>146249.7963 + (33.6835738*L126) + (1.176703422*K126) + (3062.934007*O126) + (-39654.57312*H126) + (-22957.90276*I126) + (-11306.62502*J126)</f>
        <v>700977.25275714346</v>
      </c>
      <c r="V126">
        <f>S126-U126</f>
        <v>-9863.6327571434667</v>
      </c>
      <c r="W126" s="30">
        <f>V126/S126*100</f>
        <v>-1.427208561906719</v>
      </c>
    </row>
    <row r="127" spans="1:23">
      <c r="A127" s="1" t="s">
        <v>85</v>
      </c>
      <c r="B127" s="3">
        <v>45658</v>
      </c>
      <c r="C127" s="1" t="s">
        <v>24</v>
      </c>
      <c r="D127" s="1">
        <f>IF(C127="East",1,0)</f>
        <v>0</v>
      </c>
      <c r="E127" s="1">
        <f>IF(C127="West",1,0)</f>
        <v>0</v>
      </c>
      <c r="F127" s="1">
        <f>IF(C127="North",1,0)</f>
        <v>0</v>
      </c>
      <c r="G127" s="1" t="s">
        <v>21</v>
      </c>
      <c r="H127" s="1">
        <f>IF(G127="Residential",1,0)</f>
        <v>0</v>
      </c>
      <c r="I127" s="1">
        <f>IF(G127="High Street",1,0)</f>
        <v>0</v>
      </c>
      <c r="J127" s="1">
        <f>IF(G127="Mall",1,0)</f>
        <v>0</v>
      </c>
      <c r="K127" s="1">
        <v>81801.8</v>
      </c>
      <c r="L127" s="1">
        <v>6782</v>
      </c>
      <c r="M127" s="1">
        <v>0.05</v>
      </c>
      <c r="N127" s="1">
        <v>16</v>
      </c>
      <c r="O127" s="1">
        <v>99</v>
      </c>
      <c r="P127" s="1">
        <v>9.5399999999999991</v>
      </c>
      <c r="Q127" s="1">
        <v>0</v>
      </c>
      <c r="R127" s="1">
        <v>3.7</v>
      </c>
      <c r="S127" s="1">
        <v>764949</v>
      </c>
      <c r="T127" s="1">
        <v>148322.43</v>
      </c>
      <c r="U127">
        <f>146249.7963 + (33.6835738*L127) + (1.176703422*K127) + (3062.934007*O127) + (-39654.57312*H127) + (-22957.90276*I127) + (-11306.62502*J127)</f>
        <v>774178.71849035961</v>
      </c>
      <c r="V127">
        <f>S127-U127</f>
        <v>-9229.7184903596062</v>
      </c>
      <c r="W127" s="30">
        <f>V127/S127*100</f>
        <v>-1.2065795877057957</v>
      </c>
    </row>
    <row r="128" spans="1:23">
      <c r="A128" s="1" t="s">
        <v>41</v>
      </c>
      <c r="B128" s="3">
        <v>45658</v>
      </c>
      <c r="C128" s="1" t="s">
        <v>24</v>
      </c>
      <c r="D128" s="1">
        <f>IF(C128="East",1,0)</f>
        <v>0</v>
      </c>
      <c r="E128" s="1">
        <f>IF(C128="West",1,0)</f>
        <v>0</v>
      </c>
      <c r="F128" s="1">
        <f>IF(C128="North",1,0)</f>
        <v>0</v>
      </c>
      <c r="G128" s="1" t="s">
        <v>18</v>
      </c>
      <c r="H128" s="1">
        <f>IF(G128="Residential",1,0)</f>
        <v>0</v>
      </c>
      <c r="I128" s="1">
        <f>IF(G128="High Street",1,0)</f>
        <v>1</v>
      </c>
      <c r="J128" s="1">
        <f>IF(G128="Mall",1,0)</f>
        <v>0</v>
      </c>
      <c r="K128" s="1">
        <v>56973.18</v>
      </c>
      <c r="L128" s="1">
        <v>6662</v>
      </c>
      <c r="M128" s="1">
        <v>0.1</v>
      </c>
      <c r="N128" s="1">
        <v>15</v>
      </c>
      <c r="O128" s="1">
        <v>77.7</v>
      </c>
      <c r="P128" s="1">
        <v>7.52</v>
      </c>
      <c r="Q128" s="1">
        <v>1</v>
      </c>
      <c r="R128" s="1">
        <v>3.2</v>
      </c>
      <c r="S128" s="1">
        <v>643657.47</v>
      </c>
      <c r="T128" s="1">
        <v>87022.45</v>
      </c>
      <c r="U128">
        <f>146249.7963 + (33.6835738*L128) + (1.176703422*K128) + (3062.934007*O128) + (-39654.57312*H128) + (-22957.90276*I128) + (-11306.62502*J128)</f>
        <v>652722.37040772196</v>
      </c>
      <c r="V128">
        <f>S128-U128</f>
        <v>-9064.900407721987</v>
      </c>
      <c r="W128" s="30">
        <f>V128/S128*100</f>
        <v>-1.4083422985399341</v>
      </c>
    </row>
    <row r="129" spans="1:23">
      <c r="A129" s="1" t="s">
        <v>77</v>
      </c>
      <c r="B129" s="3">
        <v>45689</v>
      </c>
      <c r="C129" s="1" t="s">
        <v>15</v>
      </c>
      <c r="D129" s="1">
        <f>IF(C129="East",1,0)</f>
        <v>1</v>
      </c>
      <c r="E129" s="1">
        <f>IF(C129="West",1,0)</f>
        <v>0</v>
      </c>
      <c r="F129" s="1">
        <f>IF(C129="North",1,0)</f>
        <v>0</v>
      </c>
      <c r="G129" s="1" t="s">
        <v>18</v>
      </c>
      <c r="H129" s="1">
        <f>IF(G129="Residential",1,0)</f>
        <v>0</v>
      </c>
      <c r="I129" s="1">
        <f>IF(G129="High Street",1,0)</f>
        <v>1</v>
      </c>
      <c r="J129" s="1">
        <f>IF(G129="Mall",1,0)</f>
        <v>0</v>
      </c>
      <c r="K129" s="1">
        <v>27194.639999999999</v>
      </c>
      <c r="L129" s="1">
        <v>7404</v>
      </c>
      <c r="M129" s="1">
        <v>8.7999999999999995E-2</v>
      </c>
      <c r="N129" s="1">
        <v>18</v>
      </c>
      <c r="O129" s="1">
        <v>90.2</v>
      </c>
      <c r="P129" s="1">
        <v>1.2</v>
      </c>
      <c r="Q129" s="1">
        <v>0</v>
      </c>
      <c r="R129" s="1">
        <v>3.4</v>
      </c>
      <c r="S129" s="1">
        <v>672670.54</v>
      </c>
      <c r="T129" s="1">
        <v>132684.18</v>
      </c>
      <c r="U129">
        <f>146249.7963 + (33.6835738*L129) + (1.176703422*K129) + (3062.934007*O129) + (-39654.57312*H129) + (-22957.90276*I129) + (-11306.62502*J129)</f>
        <v>680961.74733465817</v>
      </c>
      <c r="V129">
        <f>S129-U129</f>
        <v>-8291.207334658131</v>
      </c>
      <c r="W129" s="30">
        <f>V129/S129*100</f>
        <v>-1.2325807124923489</v>
      </c>
    </row>
    <row r="130" spans="1:23">
      <c r="A130" s="1" t="s">
        <v>46</v>
      </c>
      <c r="B130" s="3">
        <v>45717</v>
      </c>
      <c r="C130" s="1" t="s">
        <v>27</v>
      </c>
      <c r="D130" s="1">
        <f>IF(C130="East",1,0)</f>
        <v>0</v>
      </c>
      <c r="E130" s="1">
        <f>IF(C130="West",1,0)</f>
        <v>1</v>
      </c>
      <c r="F130" s="1">
        <f>IF(C130="North",1,0)</f>
        <v>0</v>
      </c>
      <c r="G130" s="1" t="s">
        <v>28</v>
      </c>
      <c r="H130" s="1">
        <f>IF(G130="Residential",1,0)</f>
        <v>0</v>
      </c>
      <c r="I130" s="1">
        <f>IF(G130="High Street",1,0)</f>
        <v>0</v>
      </c>
      <c r="J130" s="1">
        <f>IF(G130="Mall",1,0)</f>
        <v>1</v>
      </c>
      <c r="K130" s="1">
        <v>38752.800000000003</v>
      </c>
      <c r="L130" s="1">
        <v>4712</v>
      </c>
      <c r="M130" s="1">
        <v>7.4999999999999997E-2</v>
      </c>
      <c r="N130" s="1">
        <v>15</v>
      </c>
      <c r="O130" s="1">
        <v>89.7</v>
      </c>
      <c r="P130" s="1">
        <v>3.36</v>
      </c>
      <c r="Q130" s="1">
        <v>0</v>
      </c>
      <c r="R130" s="1">
        <v>4.3</v>
      </c>
      <c r="S130" s="1">
        <v>605775.32999999996</v>
      </c>
      <c r="T130" s="1">
        <v>107194.6</v>
      </c>
      <c r="U130">
        <f>146249.7963 + (33.6835738*L130) + (1.176703422*K130) + (3062.934007*O130) + (-39654.57312*H130) + (-22957.90276*I130) + (-11306.62502*J130)</f>
        <v>614005.90382558154</v>
      </c>
      <c r="V130">
        <f>S130-U130</f>
        <v>-8230.5738255815813</v>
      </c>
      <c r="W130" s="30">
        <f>V130/S130*100</f>
        <v>-1.358684221356717</v>
      </c>
    </row>
    <row r="131" spans="1:23">
      <c r="A131" s="1" t="s">
        <v>53</v>
      </c>
      <c r="B131" s="3">
        <v>45689</v>
      </c>
      <c r="C131" s="1" t="s">
        <v>24</v>
      </c>
      <c r="D131" s="1">
        <f>IF(C131="East",1,0)</f>
        <v>0</v>
      </c>
      <c r="E131" s="1">
        <f>IF(C131="West",1,0)</f>
        <v>0</v>
      </c>
      <c r="F131" s="1">
        <f>IF(C131="North",1,0)</f>
        <v>0</v>
      </c>
      <c r="G131" s="1" t="s">
        <v>18</v>
      </c>
      <c r="H131" s="1">
        <f>IF(G131="Residential",1,0)</f>
        <v>0</v>
      </c>
      <c r="I131" s="1">
        <f>IF(G131="High Street",1,0)</f>
        <v>1</v>
      </c>
      <c r="J131" s="1">
        <f>IF(G131="Mall",1,0)</f>
        <v>0</v>
      </c>
      <c r="K131" s="1">
        <v>44747</v>
      </c>
      <c r="L131" s="1">
        <v>11076</v>
      </c>
      <c r="M131" s="1">
        <v>0.17599999999999999</v>
      </c>
      <c r="N131" s="1">
        <v>27</v>
      </c>
      <c r="O131" s="1">
        <v>98.3</v>
      </c>
      <c r="P131" s="1">
        <v>0.54</v>
      </c>
      <c r="Q131" s="1">
        <v>0</v>
      </c>
      <c r="R131" s="1">
        <v>4.4000000000000004</v>
      </c>
      <c r="S131" s="1">
        <v>842439.67</v>
      </c>
      <c r="T131" s="1">
        <v>169983.63</v>
      </c>
      <c r="U131">
        <f>146249.7963 + (33.6835738*L131) + (1.176703422*K131) + (3062.934007*O131) + (-39654.57312*H131) + (-22957.90276*I131) + (-11306.62502*J131)</f>
        <v>850111.51786113391</v>
      </c>
      <c r="V131">
        <f>S131-U131</f>
        <v>-7671.8478611338651</v>
      </c>
      <c r="W131" s="30">
        <f>V131/S131*100</f>
        <v>-0.91067029893474338</v>
      </c>
    </row>
    <row r="132" spans="1:23">
      <c r="A132" s="1" t="s">
        <v>54</v>
      </c>
      <c r="B132" s="3">
        <v>45689</v>
      </c>
      <c r="C132" s="1" t="s">
        <v>15</v>
      </c>
      <c r="D132" s="1">
        <f>IF(C132="East",1,0)</f>
        <v>1</v>
      </c>
      <c r="E132" s="1">
        <f>IF(C132="West",1,0)</f>
        <v>0</v>
      </c>
      <c r="F132" s="1">
        <f>IF(C132="North",1,0)</f>
        <v>0</v>
      </c>
      <c r="G132" s="1" t="s">
        <v>18</v>
      </c>
      <c r="H132" s="1">
        <f>IF(G132="Residential",1,0)</f>
        <v>0</v>
      </c>
      <c r="I132" s="1">
        <f>IF(G132="High Street",1,0)</f>
        <v>1</v>
      </c>
      <c r="J132" s="1">
        <f>IF(G132="Mall",1,0)</f>
        <v>0</v>
      </c>
      <c r="K132" s="1">
        <v>68410.929999999993</v>
      </c>
      <c r="L132" s="1">
        <v>10596</v>
      </c>
      <c r="M132" s="1">
        <v>0.20699999999999999</v>
      </c>
      <c r="N132" s="1">
        <v>25</v>
      </c>
      <c r="O132" s="1">
        <v>81.2</v>
      </c>
      <c r="P132" s="1">
        <v>0.21</v>
      </c>
      <c r="Q132" s="1">
        <v>0</v>
      </c>
      <c r="R132" s="1">
        <v>4</v>
      </c>
      <c r="S132" s="1">
        <v>801830.35</v>
      </c>
      <c r="T132" s="1">
        <v>114875.32</v>
      </c>
      <c r="U132">
        <f>146249.7963 + (33.6835738*L132) + (1.176703422*K132) + (3062.934007*O132) + (-39654.57312*H132) + (-22957.90276*I132) + (-11306.62502*J132)</f>
        <v>809412.65832640254</v>
      </c>
      <c r="V132">
        <f>S132-U132</f>
        <v>-7582.3083264025627</v>
      </c>
      <c r="W132" s="30">
        <f>V132/S132*100</f>
        <v>-0.94562500987927967</v>
      </c>
    </row>
    <row r="133" spans="1:23">
      <c r="A133" s="1" t="s">
        <v>23</v>
      </c>
      <c r="B133" s="3">
        <v>45717</v>
      </c>
      <c r="C133" s="1" t="s">
        <v>24</v>
      </c>
      <c r="D133" s="1">
        <f>IF(C133="East",1,0)</f>
        <v>0</v>
      </c>
      <c r="E133" s="1">
        <f>IF(C133="West",1,0)</f>
        <v>0</v>
      </c>
      <c r="F133" s="1">
        <f>IF(C133="North",1,0)</f>
        <v>0</v>
      </c>
      <c r="G133" s="1" t="s">
        <v>16</v>
      </c>
      <c r="H133" s="1">
        <f>IF(G133="Residential",1,0)</f>
        <v>1</v>
      </c>
      <c r="I133" s="1">
        <f>IF(G133="High Street",1,0)</f>
        <v>0</v>
      </c>
      <c r="J133" s="1">
        <f>IF(G133="Mall",1,0)</f>
        <v>0</v>
      </c>
      <c r="K133" s="1">
        <v>78831.12</v>
      </c>
      <c r="L133" s="1">
        <v>5538</v>
      </c>
      <c r="M133" s="1">
        <v>0</v>
      </c>
      <c r="N133" s="1">
        <v>15</v>
      </c>
      <c r="O133" s="1">
        <v>94.1</v>
      </c>
      <c r="P133" s="1">
        <v>0.2</v>
      </c>
      <c r="Q133" s="1">
        <v>0</v>
      </c>
      <c r="R133" s="1">
        <v>3.9</v>
      </c>
      <c r="S133" s="1">
        <v>666573.19999999995</v>
      </c>
      <c r="T133" s="1">
        <v>140641.01999999999</v>
      </c>
      <c r="U133">
        <f>146249.7963 + (33.6835738*L133) + (1.176703422*K133) + (3062.934007*O133) + (-39654.57312*H133) + (-22957.90276*I133) + (-11306.62502*J133)</f>
        <v>674117.7936071927</v>
      </c>
      <c r="V133">
        <f>S133-U133</f>
        <v>-7544.5936071927426</v>
      </c>
      <c r="W133" s="30">
        <f>V133/S133*100</f>
        <v>-1.131847726130115</v>
      </c>
    </row>
    <row r="134" spans="1:23">
      <c r="A134" s="1" t="s">
        <v>82</v>
      </c>
      <c r="B134" s="3">
        <v>45748</v>
      </c>
      <c r="C134" s="1" t="s">
        <v>24</v>
      </c>
      <c r="D134" s="1">
        <f>IF(C134="East",1,0)</f>
        <v>0</v>
      </c>
      <c r="E134" s="1">
        <f>IF(C134="West",1,0)</f>
        <v>0</v>
      </c>
      <c r="F134" s="1">
        <f>IF(C134="North",1,0)</f>
        <v>0</v>
      </c>
      <c r="G134" s="1" t="s">
        <v>21</v>
      </c>
      <c r="H134" s="1">
        <f>IF(G134="Residential",1,0)</f>
        <v>0</v>
      </c>
      <c r="I134" s="1">
        <f>IF(G134="High Street",1,0)</f>
        <v>0</v>
      </c>
      <c r="J134" s="1">
        <f>IF(G134="Mall",1,0)</f>
        <v>0</v>
      </c>
      <c r="K134" s="1">
        <v>53546.34</v>
      </c>
      <c r="L134" s="1">
        <v>8004</v>
      </c>
      <c r="M134" s="1">
        <v>0</v>
      </c>
      <c r="N134" s="1">
        <v>21</v>
      </c>
      <c r="O134" s="1">
        <v>95.2</v>
      </c>
      <c r="P134" s="1">
        <v>2.83</v>
      </c>
      <c r="Q134" s="1">
        <v>0</v>
      </c>
      <c r="R134" s="1">
        <v>3</v>
      </c>
      <c r="S134" s="1">
        <v>763159.92</v>
      </c>
      <c r="T134" s="1">
        <v>177104.87</v>
      </c>
      <c r="U134">
        <f>146249.7963 + (33.6835738*L134) + (1.176703422*K134) + (3062.934007*O134) + (-39654.57312*H134) + (-22957.90276*I134) + (-11306.62502*J134)</f>
        <v>770452.59997517546</v>
      </c>
      <c r="V134">
        <f>S134-U134</f>
        <v>-7292.6799751754152</v>
      </c>
      <c r="W134" s="30">
        <f>V134/S134*100</f>
        <v>-0.95559001253307618</v>
      </c>
    </row>
    <row r="135" spans="1:23">
      <c r="A135" s="1" t="s">
        <v>31</v>
      </c>
      <c r="B135" s="3">
        <v>45748</v>
      </c>
      <c r="C135" s="1" t="s">
        <v>20</v>
      </c>
      <c r="D135" s="1">
        <f>IF(C135="East",1,0)</f>
        <v>0</v>
      </c>
      <c r="E135" s="1">
        <f>IF(C135="West",1,0)</f>
        <v>0</v>
      </c>
      <c r="F135" s="1">
        <f>IF(C135="North",1,0)</f>
        <v>1</v>
      </c>
      <c r="G135" s="1" t="s">
        <v>28</v>
      </c>
      <c r="H135" s="1">
        <f>IF(G135="Residential",1,0)</f>
        <v>0</v>
      </c>
      <c r="I135" s="1">
        <f>IF(G135="High Street",1,0)</f>
        <v>0</v>
      </c>
      <c r="J135" s="1">
        <f>IF(G135="Mall",1,0)</f>
        <v>1</v>
      </c>
      <c r="K135" s="1">
        <v>65012.19</v>
      </c>
      <c r="L135" s="1">
        <v>9598</v>
      </c>
      <c r="M135" s="1">
        <v>8.5000000000000006E-2</v>
      </c>
      <c r="N135" s="1">
        <v>24</v>
      </c>
      <c r="O135" s="1">
        <v>98.3</v>
      </c>
      <c r="P135" s="1">
        <v>0.89</v>
      </c>
      <c r="Q135" s="1">
        <v>0</v>
      </c>
      <c r="R135" s="1">
        <v>3.8</v>
      </c>
      <c r="S135" s="1">
        <v>828623.85</v>
      </c>
      <c r="T135" s="1">
        <v>167320.51999999999</v>
      </c>
      <c r="U135">
        <f>146249.7963 + (33.6835738*L135) + (1.176703422*K135) + (3062.934007*O135) + (-39654.57312*H135) + (-22957.90276*I135) + (-11306.62502*J135)</f>
        <v>835824.59194521408</v>
      </c>
      <c r="V135">
        <f>S135-U135</f>
        <v>-7200.7419452141039</v>
      </c>
      <c r="W135" s="30">
        <f>V135/S135*100</f>
        <v>-0.86900008311540933</v>
      </c>
    </row>
    <row r="136" spans="1:23">
      <c r="A136" s="1" t="s">
        <v>62</v>
      </c>
      <c r="B136" s="3">
        <v>45717</v>
      </c>
      <c r="C136" s="1" t="s">
        <v>24</v>
      </c>
      <c r="D136" s="1">
        <f>IF(C136="East",1,0)</f>
        <v>0</v>
      </c>
      <c r="E136" s="1">
        <f>IF(C136="West",1,0)</f>
        <v>0</v>
      </c>
      <c r="F136" s="1">
        <f>IF(C136="North",1,0)</f>
        <v>0</v>
      </c>
      <c r="G136" s="1" t="s">
        <v>18</v>
      </c>
      <c r="H136" s="1">
        <f>IF(G136="Residential",1,0)</f>
        <v>0</v>
      </c>
      <c r="I136" s="1">
        <f>IF(G136="High Street",1,0)</f>
        <v>1</v>
      </c>
      <c r="J136" s="1">
        <f>IF(G136="Mall",1,0)</f>
        <v>0</v>
      </c>
      <c r="K136" s="1">
        <v>57143.3</v>
      </c>
      <c r="L136" s="1">
        <v>8038</v>
      </c>
      <c r="M136" s="1">
        <v>0.193</v>
      </c>
      <c r="N136" s="1">
        <v>17</v>
      </c>
      <c r="O136" s="1">
        <v>72.599999999999994</v>
      </c>
      <c r="P136" s="1">
        <v>3.36</v>
      </c>
      <c r="Q136" s="1">
        <v>0</v>
      </c>
      <c r="R136" s="1">
        <v>4.2</v>
      </c>
      <c r="S136" s="1">
        <v>677096.71</v>
      </c>
      <c r="T136" s="1">
        <v>97174.11</v>
      </c>
      <c r="U136">
        <f>146249.7963 + (33.6835738*L136) + (1.176703422*K136) + (3062.934007*O136) + (-39654.57312*H136) + (-22957.90276*I136) + (-11306.62502*J136)</f>
        <v>683650.18530697259</v>
      </c>
      <c r="V136">
        <f>S136-U136</f>
        <v>-6553.4753069726285</v>
      </c>
      <c r="W136" s="30">
        <f>V136/S136*100</f>
        <v>-0.96787876978055754</v>
      </c>
    </row>
    <row r="137" spans="1:23">
      <c r="A137" s="1" t="s">
        <v>60</v>
      </c>
      <c r="B137" s="3">
        <v>45748</v>
      </c>
      <c r="C137" s="1" t="s">
        <v>15</v>
      </c>
      <c r="D137" s="1">
        <f>IF(C137="East",1,0)</f>
        <v>1</v>
      </c>
      <c r="E137" s="1">
        <f>IF(C137="West",1,0)</f>
        <v>0</v>
      </c>
      <c r="F137" s="1">
        <f>IF(C137="North",1,0)</f>
        <v>0</v>
      </c>
      <c r="G137" s="1" t="s">
        <v>18</v>
      </c>
      <c r="H137" s="1">
        <f>IF(G137="Residential",1,0)</f>
        <v>0</v>
      </c>
      <c r="I137" s="1">
        <f>IF(G137="High Street",1,0)</f>
        <v>1</v>
      </c>
      <c r="J137" s="1">
        <f>IF(G137="Mall",1,0)</f>
        <v>0</v>
      </c>
      <c r="K137" s="1">
        <v>42698.14</v>
      </c>
      <c r="L137" s="1">
        <v>7693</v>
      </c>
      <c r="M137" s="1">
        <v>0.187</v>
      </c>
      <c r="N137" s="1">
        <v>19</v>
      </c>
      <c r="O137" s="1">
        <v>90.1</v>
      </c>
      <c r="P137" s="1">
        <v>0.44</v>
      </c>
      <c r="Q137" s="1">
        <v>0</v>
      </c>
      <c r="R137" s="1">
        <v>4.4000000000000004</v>
      </c>
      <c r="S137" s="1">
        <v>702318.94</v>
      </c>
      <c r="T137" s="1">
        <v>112829.29</v>
      </c>
      <c r="U137">
        <f>146249.7963 + (33.6835738*L137) + (1.176703422*K137) + (3062.934007*O137) + (-39654.57312*H137) + (-22957.90276*I137) + (-11306.62502*J137)</f>
        <v>708633.02826513501</v>
      </c>
      <c r="V137">
        <f>S137-U137</f>
        <v>-6314.0882651350694</v>
      </c>
      <c r="W137" s="30">
        <f>V137/S137*100</f>
        <v>-0.89903431411590151</v>
      </c>
    </row>
    <row r="138" spans="1:23">
      <c r="A138" s="1" t="s">
        <v>55</v>
      </c>
      <c r="B138" s="3">
        <v>45717</v>
      </c>
      <c r="C138" s="1" t="s">
        <v>20</v>
      </c>
      <c r="D138" s="1">
        <f>IF(C138="East",1,0)</f>
        <v>0</v>
      </c>
      <c r="E138" s="1">
        <f>IF(C138="West",1,0)</f>
        <v>0</v>
      </c>
      <c r="F138" s="1">
        <f>IF(C138="North",1,0)</f>
        <v>1</v>
      </c>
      <c r="G138" s="1" t="s">
        <v>18</v>
      </c>
      <c r="H138" s="1">
        <f>IF(G138="Residential",1,0)</f>
        <v>0</v>
      </c>
      <c r="I138" s="1">
        <f>IF(G138="High Street",1,0)</f>
        <v>1</v>
      </c>
      <c r="J138" s="1">
        <f>IF(G138="Mall",1,0)</f>
        <v>0</v>
      </c>
      <c r="K138" s="1">
        <v>52285.45</v>
      </c>
      <c r="L138" s="1">
        <v>3618</v>
      </c>
      <c r="M138" s="1">
        <v>8.5999999999999993E-2</v>
      </c>
      <c r="N138" s="1">
        <v>11</v>
      </c>
      <c r="O138" s="1">
        <v>95.6</v>
      </c>
      <c r="P138" s="1">
        <v>5.17</v>
      </c>
      <c r="Q138" s="1">
        <v>1</v>
      </c>
      <c r="R138" s="1">
        <v>4.4000000000000004</v>
      </c>
      <c r="S138" s="1">
        <v>593247.25</v>
      </c>
      <c r="T138" s="1">
        <v>81240.289999999994</v>
      </c>
      <c r="U138">
        <f>146249.7963 + (33.6835738*L138) + (1.176703422*K138) + (3062.934007*O138) + (-39654.57312*H138) + (-22957.90276*I138) + (-11306.62502*J138)</f>
        <v>599500.02255340992</v>
      </c>
      <c r="V138">
        <f>S138-U138</f>
        <v>-6252.7725534099154</v>
      </c>
      <c r="W138" s="30">
        <f>V138/S138*100</f>
        <v>-1.0539909883121945</v>
      </c>
    </row>
    <row r="139" spans="1:23">
      <c r="A139" s="1" t="s">
        <v>32</v>
      </c>
      <c r="B139" s="3">
        <v>45658</v>
      </c>
      <c r="C139" s="1" t="s">
        <v>15</v>
      </c>
      <c r="D139" s="1">
        <f>IF(C139="East",1,0)</f>
        <v>1</v>
      </c>
      <c r="E139" s="1">
        <f>IF(C139="West",1,0)</f>
        <v>0</v>
      </c>
      <c r="F139" s="1">
        <f>IF(C139="North",1,0)</f>
        <v>0</v>
      </c>
      <c r="G139" s="1" t="s">
        <v>28</v>
      </c>
      <c r="H139" s="1">
        <f>IF(G139="Residential",1,0)</f>
        <v>0</v>
      </c>
      <c r="I139" s="1">
        <f>IF(G139="High Street",1,0)</f>
        <v>0</v>
      </c>
      <c r="J139" s="1">
        <f>IF(G139="Mall",1,0)</f>
        <v>1</v>
      </c>
      <c r="K139" s="1">
        <v>40462.94</v>
      </c>
      <c r="L139" s="1">
        <v>3660</v>
      </c>
      <c r="M139" s="1">
        <v>0.218</v>
      </c>
      <c r="N139" s="1">
        <v>11</v>
      </c>
      <c r="O139" s="1">
        <v>95.2</v>
      </c>
      <c r="P139" s="1">
        <v>5.57</v>
      </c>
      <c r="Q139" s="1">
        <v>0</v>
      </c>
      <c r="R139" s="1">
        <v>4.4000000000000004</v>
      </c>
      <c r="S139" s="1">
        <v>592195.85</v>
      </c>
      <c r="T139" s="1">
        <v>92291.56</v>
      </c>
      <c r="U139">
        <f>146249.7963 + (33.6835738*L139) + (1.176703422*K139) + (3062.934007*O139) + (-39654.57312*H139) + (-22957.90276*I139) + (-11306.62502*J139)</f>
        <v>597429.24881658063</v>
      </c>
      <c r="V139">
        <f>S139-U139</f>
        <v>-5233.3988165806513</v>
      </c>
      <c r="W139" s="30">
        <f>V139/S139*100</f>
        <v>-0.88372770876064921</v>
      </c>
    </row>
    <row r="140" spans="1:23">
      <c r="A140" s="1" t="s">
        <v>78</v>
      </c>
      <c r="B140" s="3">
        <v>45689</v>
      </c>
      <c r="C140" s="1" t="s">
        <v>15</v>
      </c>
      <c r="D140" s="1">
        <f>IF(C140="East",1,0)</f>
        <v>1</v>
      </c>
      <c r="E140" s="1">
        <f>IF(C140="West",1,0)</f>
        <v>0</v>
      </c>
      <c r="F140" s="1">
        <f>IF(C140="North",1,0)</f>
        <v>0</v>
      </c>
      <c r="G140" s="1" t="s">
        <v>28</v>
      </c>
      <c r="H140" s="1">
        <f>IF(G140="Residential",1,0)</f>
        <v>0</v>
      </c>
      <c r="I140" s="1">
        <f>IF(G140="High Street",1,0)</f>
        <v>0</v>
      </c>
      <c r="J140" s="1">
        <f>IF(G140="Mall",1,0)</f>
        <v>1</v>
      </c>
      <c r="K140" s="1">
        <v>57225.98</v>
      </c>
      <c r="L140" s="1">
        <v>2842</v>
      </c>
      <c r="M140" s="1">
        <v>0.112</v>
      </c>
      <c r="N140" s="1">
        <v>10</v>
      </c>
      <c r="O140" s="1">
        <v>79.5</v>
      </c>
      <c r="P140" s="1">
        <v>5.45</v>
      </c>
      <c r="Q140" s="1">
        <v>0</v>
      </c>
      <c r="R140" s="1">
        <v>3.4</v>
      </c>
      <c r="S140" s="1">
        <v>536545.49</v>
      </c>
      <c r="T140" s="1">
        <v>97917.45</v>
      </c>
      <c r="U140">
        <f>146249.7963 + (33.6835738*L140) + (1.176703422*K140) + (3062.934007*O140) + (-39654.57312*H140) + (-22957.90276*I140) + (-11306.62502*J140)</f>
        <v>541513.14806940348</v>
      </c>
      <c r="V140">
        <f>S140-U140</f>
        <v>-4967.6580694034928</v>
      </c>
      <c r="W140" s="30">
        <f>V140/S140*100</f>
        <v>-0.92585962644164477</v>
      </c>
    </row>
    <row r="141" spans="1:23">
      <c r="A141" s="1" t="s">
        <v>23</v>
      </c>
      <c r="B141" s="3">
        <v>45658</v>
      </c>
      <c r="C141" s="1" t="s">
        <v>24</v>
      </c>
      <c r="D141" s="1">
        <f>IF(C141="East",1,0)</f>
        <v>0</v>
      </c>
      <c r="E141" s="1">
        <f>IF(C141="West",1,0)</f>
        <v>0</v>
      </c>
      <c r="F141" s="1">
        <f>IF(C141="North",1,0)</f>
        <v>0</v>
      </c>
      <c r="G141" s="1" t="s">
        <v>16</v>
      </c>
      <c r="H141" s="1">
        <f>IF(G141="Residential",1,0)</f>
        <v>1</v>
      </c>
      <c r="I141" s="1">
        <f>IF(G141="High Street",1,0)</f>
        <v>0</v>
      </c>
      <c r="J141" s="1">
        <f>IF(G141="Mall",1,0)</f>
        <v>0</v>
      </c>
      <c r="K141" s="1">
        <v>48804.22</v>
      </c>
      <c r="L141" s="1">
        <v>7057</v>
      </c>
      <c r="M141" s="1">
        <v>5.0000000000000001E-3</v>
      </c>
      <c r="N141" s="1">
        <v>15</v>
      </c>
      <c r="O141" s="1">
        <v>87.7</v>
      </c>
      <c r="P141" s="1">
        <v>1.22</v>
      </c>
      <c r="Q141" s="1">
        <v>0</v>
      </c>
      <c r="R141" s="1">
        <v>3.7</v>
      </c>
      <c r="S141" s="1">
        <v>666152.52</v>
      </c>
      <c r="T141" s="1">
        <v>107490.58</v>
      </c>
      <c r="U141">
        <f>146249.7963 + (33.6835738*L141) + (1.176703422*K141) + (3062.934007*O141) + (-39654.57312*H141) + (-22957.90276*I141) + (-11306.62502*J141)</f>
        <v>670347.60858254076</v>
      </c>
      <c r="V141">
        <f>S141-U141</f>
        <v>-4195.0885825407458</v>
      </c>
      <c r="W141" s="30">
        <f>V141/S141*100</f>
        <v>-0.62974896237587541</v>
      </c>
    </row>
    <row r="142" spans="1:23">
      <c r="A142" s="1" t="s">
        <v>84</v>
      </c>
      <c r="B142" s="3">
        <v>45717</v>
      </c>
      <c r="C142" s="1" t="s">
        <v>20</v>
      </c>
      <c r="D142" s="1">
        <f>IF(C142="East",1,0)</f>
        <v>0</v>
      </c>
      <c r="E142" s="1">
        <f>IF(C142="West",1,0)</f>
        <v>0</v>
      </c>
      <c r="F142" s="1">
        <f>IF(C142="North",1,0)</f>
        <v>1</v>
      </c>
      <c r="G142" s="1" t="s">
        <v>18</v>
      </c>
      <c r="H142" s="1">
        <f>IF(G142="Residential",1,0)</f>
        <v>0</v>
      </c>
      <c r="I142" s="1">
        <f>IF(G142="High Street",1,0)</f>
        <v>1</v>
      </c>
      <c r="J142" s="1">
        <f>IF(G142="Mall",1,0)</f>
        <v>0</v>
      </c>
      <c r="K142" s="1">
        <v>38361.93</v>
      </c>
      <c r="L142" s="1">
        <v>6322</v>
      </c>
      <c r="M142" s="1">
        <v>0.27300000000000002</v>
      </c>
      <c r="N142" s="1">
        <v>15</v>
      </c>
      <c r="O142" s="1">
        <v>88.4</v>
      </c>
      <c r="P142" s="1">
        <v>0.83</v>
      </c>
      <c r="Q142" s="1">
        <v>0</v>
      </c>
      <c r="R142" s="1">
        <v>4</v>
      </c>
      <c r="S142" s="1">
        <v>647953.78</v>
      </c>
      <c r="T142" s="1">
        <v>118497.43</v>
      </c>
      <c r="U142">
        <f>146249.7963 + (33.6835738*L142) + (1.176703422*K142) + (3062.934007*O142) + (-39654.57312*H142) + (-22957.90276*I142) + (-11306.62502*J142)</f>
        <v>652143.42762792448</v>
      </c>
      <c r="V142">
        <f>S142-U142</f>
        <v>-4189.6476279244525</v>
      </c>
      <c r="W142" s="30">
        <f>V142/S142*100</f>
        <v>-0.64659667977003732</v>
      </c>
    </row>
    <row r="143" spans="1:23">
      <c r="A143" s="1" t="s">
        <v>96</v>
      </c>
      <c r="B143" s="3">
        <v>45658</v>
      </c>
      <c r="C143" s="1" t="s">
        <v>27</v>
      </c>
      <c r="D143" s="1">
        <f>IF(C143="East",1,0)</f>
        <v>0</v>
      </c>
      <c r="E143" s="1">
        <f>IF(C143="West",1,0)</f>
        <v>1</v>
      </c>
      <c r="F143" s="1">
        <f>IF(C143="North",1,0)</f>
        <v>0</v>
      </c>
      <c r="G143" s="1" t="s">
        <v>18</v>
      </c>
      <c r="H143" s="1">
        <f>IF(G143="Residential",1,0)</f>
        <v>0</v>
      </c>
      <c r="I143" s="1">
        <f>IF(G143="High Street",1,0)</f>
        <v>1</v>
      </c>
      <c r="J143" s="1">
        <f>IF(G143="Mall",1,0)</f>
        <v>0</v>
      </c>
      <c r="K143" s="1">
        <v>55599.56</v>
      </c>
      <c r="L143" s="1">
        <v>5896</v>
      </c>
      <c r="M143" s="1">
        <v>3.5999999999999997E-2</v>
      </c>
      <c r="N143" s="1">
        <v>12</v>
      </c>
      <c r="O143" s="1">
        <v>93.1</v>
      </c>
      <c r="P143" s="1">
        <v>6.13</v>
      </c>
      <c r="Q143" s="1">
        <v>0</v>
      </c>
      <c r="R143" s="1">
        <v>3.3</v>
      </c>
      <c r="S143" s="1">
        <v>668459.37</v>
      </c>
      <c r="T143" s="1">
        <v>126435.42</v>
      </c>
      <c r="U143">
        <f>146249.7963 + (33.6835738*L143) + (1.176703422*K143) + (3062.934007*O143) + (-39654.57312*H143) + (-22957.90276*I143) + (-11306.62502*J143)</f>
        <v>672473.5932301943</v>
      </c>
      <c r="V143">
        <f>S143-U143</f>
        <v>-4014.2232301943004</v>
      </c>
      <c r="W143" s="30">
        <f>V143/S143*100</f>
        <v>-0.60051865683239658</v>
      </c>
    </row>
    <row r="144" spans="1:23">
      <c r="A144" s="1" t="s">
        <v>94</v>
      </c>
      <c r="B144" s="3">
        <v>45748</v>
      </c>
      <c r="C144" s="1" t="s">
        <v>15</v>
      </c>
      <c r="D144" s="1">
        <f>IF(C144="East",1,0)</f>
        <v>1</v>
      </c>
      <c r="E144" s="1">
        <f>IF(C144="West",1,0)</f>
        <v>0</v>
      </c>
      <c r="F144" s="1">
        <f>IF(C144="North",1,0)</f>
        <v>0</v>
      </c>
      <c r="G144" s="1" t="s">
        <v>16</v>
      </c>
      <c r="H144" s="1">
        <f>IF(G144="Residential",1,0)</f>
        <v>1</v>
      </c>
      <c r="I144" s="1">
        <f>IF(G144="High Street",1,0)</f>
        <v>0</v>
      </c>
      <c r="J144" s="1">
        <f>IF(G144="Mall",1,0)</f>
        <v>0</v>
      </c>
      <c r="K144" s="1">
        <v>54080.91</v>
      </c>
      <c r="L144" s="1">
        <v>7083</v>
      </c>
      <c r="M144" s="1">
        <v>0</v>
      </c>
      <c r="N144" s="1">
        <v>15</v>
      </c>
      <c r="O144" s="1">
        <v>97</v>
      </c>
      <c r="P144" s="1">
        <v>5.33</v>
      </c>
      <c r="Q144" s="1">
        <v>0</v>
      </c>
      <c r="R144" s="1">
        <v>4.0999999999999996</v>
      </c>
      <c r="S144" s="1">
        <v>702068.92</v>
      </c>
      <c r="T144" s="1">
        <v>111266.63</v>
      </c>
      <c r="U144">
        <f>146249.7963 + (33.6835738*L144) + (1.176703422*K144) + (3062.934007*O144) + (-39654.57312*H144) + (-22957.90276*I144) + (-11306.62502*J144)</f>
        <v>705917.76694627397</v>
      </c>
      <c r="V144">
        <f>S144-U144</f>
        <v>-3848.8469462739304</v>
      </c>
      <c r="W144" s="30">
        <f>V144/S144*100</f>
        <v>-0.54821497386238516</v>
      </c>
    </row>
    <row r="145" spans="1:23">
      <c r="A145" s="1" t="s">
        <v>64</v>
      </c>
      <c r="B145" s="3">
        <v>45748</v>
      </c>
      <c r="C145" s="1" t="s">
        <v>15</v>
      </c>
      <c r="D145" s="1">
        <f>IF(C145="East",1,0)</f>
        <v>1</v>
      </c>
      <c r="E145" s="1">
        <f>IF(C145="West",1,0)</f>
        <v>0</v>
      </c>
      <c r="F145" s="1">
        <f>IF(C145="North",1,0)</f>
        <v>0</v>
      </c>
      <c r="G145" s="1" t="s">
        <v>16</v>
      </c>
      <c r="H145" s="1">
        <f>IF(G145="Residential",1,0)</f>
        <v>1</v>
      </c>
      <c r="I145" s="1">
        <f>IF(G145="High Street",1,0)</f>
        <v>0</v>
      </c>
      <c r="J145" s="1">
        <f>IF(G145="Mall",1,0)</f>
        <v>0</v>
      </c>
      <c r="K145" s="1">
        <v>36606.51</v>
      </c>
      <c r="L145" s="1">
        <v>7671</v>
      </c>
      <c r="M145" s="1">
        <v>0.11799999999999999</v>
      </c>
      <c r="N145" s="1">
        <v>18</v>
      </c>
      <c r="O145" s="1">
        <v>89.8</v>
      </c>
      <c r="P145" s="1">
        <v>0.25</v>
      </c>
      <c r="Q145" s="1">
        <v>0</v>
      </c>
      <c r="R145" s="1">
        <v>4.4000000000000004</v>
      </c>
      <c r="S145" s="1">
        <v>679731.57</v>
      </c>
      <c r="T145" s="1">
        <v>121546.42</v>
      </c>
      <c r="U145">
        <f>146249.7963 + (33.6835738*L145) + (1.176703422*K145) + (3062.934007*O145) + (-39654.57312*H145) + (-22957.90276*I145) + (-11306.62502*J145)</f>
        <v>683108.39721287729</v>
      </c>
      <c r="V145">
        <f>S145-U145</f>
        <v>-3376.8272128773388</v>
      </c>
      <c r="W145" s="30">
        <f>V145/S145*100</f>
        <v>-0.49678834438679059</v>
      </c>
    </row>
    <row r="146" spans="1:23">
      <c r="A146" s="1" t="s">
        <v>48</v>
      </c>
      <c r="B146" s="3">
        <v>45689</v>
      </c>
      <c r="C146" s="1" t="s">
        <v>27</v>
      </c>
      <c r="D146" s="1">
        <f>IF(C146="East",1,0)</f>
        <v>0</v>
      </c>
      <c r="E146" s="1">
        <f>IF(C146="West",1,0)</f>
        <v>1</v>
      </c>
      <c r="F146" s="1">
        <f>IF(C146="North",1,0)</f>
        <v>0</v>
      </c>
      <c r="G146" s="1" t="s">
        <v>18</v>
      </c>
      <c r="H146" s="1">
        <f>IF(G146="Residential",1,0)</f>
        <v>0</v>
      </c>
      <c r="I146" s="1">
        <f>IF(G146="High Street",1,0)</f>
        <v>1</v>
      </c>
      <c r="J146" s="1">
        <f>IF(G146="Mall",1,0)</f>
        <v>0</v>
      </c>
      <c r="K146" s="1">
        <v>74679.350000000006</v>
      </c>
      <c r="L146" s="1">
        <v>8739</v>
      </c>
      <c r="M146" s="1">
        <v>5.6000000000000001E-2</v>
      </c>
      <c r="N146" s="1">
        <v>21</v>
      </c>
      <c r="O146" s="1">
        <v>91.8</v>
      </c>
      <c r="P146" s="1">
        <v>2.83</v>
      </c>
      <c r="Q146" s="1">
        <v>0</v>
      </c>
      <c r="R146" s="1">
        <v>3</v>
      </c>
      <c r="S146" s="1">
        <v>783797.89</v>
      </c>
      <c r="T146" s="1">
        <v>157620.70000000001</v>
      </c>
      <c r="U146">
        <f>146249.7963 + (33.6835738*L146) + (1.176703422*K146) + (3062.934007*O146) + (-39654.57312*H146) + (-22957.90276*I146) + (-11306.62502*J146)</f>
        <v>786705.43351853569</v>
      </c>
      <c r="V146">
        <f>S146-U146</f>
        <v>-2907.5435185356764</v>
      </c>
      <c r="W146" s="30">
        <f>V146/S146*100</f>
        <v>-0.37095577260812435</v>
      </c>
    </row>
    <row r="147" spans="1:23">
      <c r="A147" s="1" t="s">
        <v>49</v>
      </c>
      <c r="B147" s="3">
        <v>45689</v>
      </c>
      <c r="C147" s="1" t="s">
        <v>15</v>
      </c>
      <c r="D147" s="1">
        <f>IF(C147="East",1,0)</f>
        <v>1</v>
      </c>
      <c r="E147" s="1">
        <f>IF(C147="West",1,0)</f>
        <v>0</v>
      </c>
      <c r="F147" s="1">
        <f>IF(C147="North",1,0)</f>
        <v>0</v>
      </c>
      <c r="G147" s="1" t="s">
        <v>28</v>
      </c>
      <c r="H147" s="1">
        <f>IF(G147="Residential",1,0)</f>
        <v>0</v>
      </c>
      <c r="I147" s="1">
        <f>IF(G147="High Street",1,0)</f>
        <v>0</v>
      </c>
      <c r="J147" s="1">
        <f>IF(G147="Mall",1,0)</f>
        <v>1</v>
      </c>
      <c r="K147" s="1">
        <v>69411.7</v>
      </c>
      <c r="L147" s="1">
        <v>5493</v>
      </c>
      <c r="M147" s="1">
        <v>0.29199999999999998</v>
      </c>
      <c r="N147" s="1">
        <v>13</v>
      </c>
      <c r="O147" s="1">
        <v>86.5</v>
      </c>
      <c r="P147" s="1">
        <v>6.69</v>
      </c>
      <c r="Q147" s="1">
        <v>0</v>
      </c>
      <c r="R147" s="1">
        <v>3.8</v>
      </c>
      <c r="S147" s="1">
        <v>664162.49</v>
      </c>
      <c r="T147" s="1">
        <v>98291.06</v>
      </c>
      <c r="U147">
        <f>146249.7963 + (33.6835738*L147) + (1.176703422*K147) + (3062.934007*O147) + (-39654.57312*H147) + (-22957.90276*I147) + (-11306.62502*J147)</f>
        <v>666587.81868573732</v>
      </c>
      <c r="V147">
        <f>S147-U147</f>
        <v>-2425.3286857373314</v>
      </c>
      <c r="W147" s="30">
        <f>V147/S147*100</f>
        <v>-0.36517098183869606</v>
      </c>
    </row>
    <row r="148" spans="1:23">
      <c r="A148" s="1" t="s">
        <v>22</v>
      </c>
      <c r="B148" s="3">
        <v>45717</v>
      </c>
      <c r="C148" s="1" t="s">
        <v>15</v>
      </c>
      <c r="D148" s="1">
        <f>IF(C148="East",1,0)</f>
        <v>1</v>
      </c>
      <c r="E148" s="1">
        <f>IF(C148="West",1,0)</f>
        <v>0</v>
      </c>
      <c r="F148" s="1">
        <f>IF(C148="North",1,0)</f>
        <v>0</v>
      </c>
      <c r="G148" s="1" t="s">
        <v>16</v>
      </c>
      <c r="H148" s="1">
        <f>IF(G148="Residential",1,0)</f>
        <v>1</v>
      </c>
      <c r="I148" s="1">
        <f>IF(G148="High Street",1,0)</f>
        <v>0</v>
      </c>
      <c r="J148" s="1">
        <f>IF(G148="Mall",1,0)</f>
        <v>0</v>
      </c>
      <c r="K148" s="1">
        <v>59909.51</v>
      </c>
      <c r="L148" s="1">
        <v>8895</v>
      </c>
      <c r="M148" s="1">
        <v>0.22800000000000001</v>
      </c>
      <c r="N148" s="1">
        <v>23</v>
      </c>
      <c r="O148" s="1">
        <v>88.8</v>
      </c>
      <c r="P148" s="1">
        <v>0.27</v>
      </c>
      <c r="Q148" s="1">
        <v>0</v>
      </c>
      <c r="R148" s="1">
        <v>4.3</v>
      </c>
      <c r="S148" s="1">
        <v>746501.09</v>
      </c>
      <c r="T148" s="1">
        <v>136816.72</v>
      </c>
      <c r="U148">
        <f>146249.7963 + (33.6835738*L148) + (1.176703422*K148) + (3062.934007*O148) + (-39654.57312*H148) + (-22957.90276*I148) + (-11306.62502*J148)</f>
        <v>748694.87737994327</v>
      </c>
      <c r="V148">
        <f>S148-U148</f>
        <v>-2193.7873799433</v>
      </c>
      <c r="W148" s="30">
        <f>V148/S148*100</f>
        <v>-0.29387597812393018</v>
      </c>
    </row>
    <row r="149" spans="1:23">
      <c r="A149" s="1" t="s">
        <v>45</v>
      </c>
      <c r="B149" s="3">
        <v>45748</v>
      </c>
      <c r="C149" s="1" t="s">
        <v>27</v>
      </c>
      <c r="D149" s="1">
        <f>IF(C149="East",1,0)</f>
        <v>0</v>
      </c>
      <c r="E149" s="1">
        <f>IF(C149="West",1,0)</f>
        <v>1</v>
      </c>
      <c r="F149" s="1">
        <f>IF(C149="North",1,0)</f>
        <v>0</v>
      </c>
      <c r="G149" s="1" t="s">
        <v>16</v>
      </c>
      <c r="H149" s="1">
        <f>IF(G149="Residential",1,0)</f>
        <v>1</v>
      </c>
      <c r="I149" s="1">
        <f>IF(G149="High Street",1,0)</f>
        <v>0</v>
      </c>
      <c r="J149" s="1">
        <f>IF(G149="Mall",1,0)</f>
        <v>0</v>
      </c>
      <c r="K149" s="1">
        <v>9534.65</v>
      </c>
      <c r="L149" s="1">
        <v>6057</v>
      </c>
      <c r="M149" s="1">
        <v>7.3999999999999996E-2</v>
      </c>
      <c r="N149" s="1">
        <v>15</v>
      </c>
      <c r="O149" s="1">
        <v>94.1</v>
      </c>
      <c r="P149" s="1">
        <v>5.79</v>
      </c>
      <c r="Q149" s="1">
        <v>0</v>
      </c>
      <c r="R149" s="1">
        <v>4.5</v>
      </c>
      <c r="S149" s="1">
        <v>607898.12</v>
      </c>
      <c r="T149" s="1">
        <v>135404.85</v>
      </c>
      <c r="U149">
        <f>146249.7963 + (33.6835738*L149) + (1.176703422*K149) + (3062.934007*O149) + (-39654.57312*H149) + (-22957.90276*I149) + (-11306.62502*J149)</f>
        <v>610058.17502787232</v>
      </c>
      <c r="V149">
        <f>S149-U149</f>
        <v>-2160.055027872324</v>
      </c>
      <c r="W149" s="30">
        <f>V149/S149*100</f>
        <v>-0.35533174997684219</v>
      </c>
    </row>
    <row r="150" spans="1:23">
      <c r="A150" s="1" t="s">
        <v>43</v>
      </c>
      <c r="B150" s="3">
        <v>45748</v>
      </c>
      <c r="C150" s="1" t="s">
        <v>27</v>
      </c>
      <c r="D150" s="1">
        <f>IF(C150="East",1,0)</f>
        <v>0</v>
      </c>
      <c r="E150" s="1">
        <f>IF(C150="West",1,0)</f>
        <v>1</v>
      </c>
      <c r="F150" s="1">
        <f>IF(C150="North",1,0)</f>
        <v>0</v>
      </c>
      <c r="G150" s="1" t="s">
        <v>18</v>
      </c>
      <c r="H150" s="1">
        <f>IF(G150="Residential",1,0)</f>
        <v>0</v>
      </c>
      <c r="I150" s="1">
        <f>IF(G150="High Street",1,0)</f>
        <v>1</v>
      </c>
      <c r="J150" s="1">
        <f>IF(G150="Mall",1,0)</f>
        <v>0</v>
      </c>
      <c r="K150" s="1">
        <v>18996.32</v>
      </c>
      <c r="L150" s="1">
        <v>1260</v>
      </c>
      <c r="M150" s="1">
        <v>0.14499999999999999</v>
      </c>
      <c r="N150" s="1">
        <v>9</v>
      </c>
      <c r="O150" s="1">
        <v>86.4</v>
      </c>
      <c r="P150" s="1">
        <v>4.3099999999999996</v>
      </c>
      <c r="Q150" s="1">
        <v>0</v>
      </c>
      <c r="R150" s="1">
        <v>4.5999999999999996</v>
      </c>
      <c r="S150" s="1">
        <v>450711.92</v>
      </c>
      <c r="T150" s="1">
        <v>90043.76</v>
      </c>
      <c r="U150">
        <f>146249.7963 + (33.6835738*L150) + (1.176703422*K150) + (3062.934007*O150) + (-39654.57312*H150) + (-22957.90276*I150) + (-11306.62502*J150)</f>
        <v>452723.72948220698</v>
      </c>
      <c r="V150">
        <f>S150-U150</f>
        <v>-2011.8094822069979</v>
      </c>
      <c r="W150" s="30">
        <f>V150/S150*100</f>
        <v>-0.44636260833904684</v>
      </c>
    </row>
    <row r="151" spans="1:23">
      <c r="A151" s="1" t="s">
        <v>91</v>
      </c>
      <c r="B151" s="3">
        <v>45748</v>
      </c>
      <c r="C151" s="1" t="s">
        <v>24</v>
      </c>
      <c r="D151" s="1">
        <f>IF(C151="East",1,0)</f>
        <v>0</v>
      </c>
      <c r="E151" s="1">
        <f>IF(C151="West",1,0)</f>
        <v>0</v>
      </c>
      <c r="F151" s="1">
        <f>IF(C151="North",1,0)</f>
        <v>0</v>
      </c>
      <c r="G151" s="1" t="s">
        <v>16</v>
      </c>
      <c r="H151" s="1">
        <f>IF(G151="Residential",1,0)</f>
        <v>1</v>
      </c>
      <c r="I151" s="1">
        <f>IF(G151="High Street",1,0)</f>
        <v>0</v>
      </c>
      <c r="J151" s="1">
        <f>IF(G151="Mall",1,0)</f>
        <v>0</v>
      </c>
      <c r="K151" s="1">
        <v>70284.06</v>
      </c>
      <c r="L151" s="1">
        <v>9109</v>
      </c>
      <c r="M151" s="1">
        <v>4.0000000000000001E-3</v>
      </c>
      <c r="N151" s="1">
        <v>23</v>
      </c>
      <c r="O151" s="1">
        <v>87</v>
      </c>
      <c r="P151" s="1">
        <v>3.65</v>
      </c>
      <c r="Q151" s="1">
        <v>0</v>
      </c>
      <c r="R151" s="1">
        <v>3.7</v>
      </c>
      <c r="S151" s="1">
        <v>761122.42</v>
      </c>
      <c r="T151" s="1">
        <v>149802.04</v>
      </c>
      <c r="U151">
        <f>146249.7963 + (33.6835738*L151) + (1.176703422*K151) + (3062.934007*O151) + (-39654.57312*H151) + (-22957.90276*I151) + (-11306.62502*J151)</f>
        <v>762597.64944725332</v>
      </c>
      <c r="V151">
        <f>S151-U151</f>
        <v>-1475.2294472532813</v>
      </c>
      <c r="W151" s="30">
        <f>V151/S151*100</f>
        <v>-0.19382288689555105</v>
      </c>
    </row>
    <row r="152" spans="1:23">
      <c r="A152" s="1" t="s">
        <v>62</v>
      </c>
      <c r="B152" s="3">
        <v>45748</v>
      </c>
      <c r="C152" s="1" t="s">
        <v>24</v>
      </c>
      <c r="D152" s="1">
        <f>IF(C152="East",1,0)</f>
        <v>0</v>
      </c>
      <c r="E152" s="1">
        <f>IF(C152="West",1,0)</f>
        <v>0</v>
      </c>
      <c r="F152" s="1">
        <f>IF(C152="North",1,0)</f>
        <v>0</v>
      </c>
      <c r="G152" s="1" t="s">
        <v>18</v>
      </c>
      <c r="H152" s="1">
        <f>IF(G152="Residential",1,0)</f>
        <v>0</v>
      </c>
      <c r="I152" s="1">
        <f>IF(G152="High Street",1,0)</f>
        <v>1</v>
      </c>
      <c r="J152" s="1">
        <f>IF(G152="Mall",1,0)</f>
        <v>0</v>
      </c>
      <c r="K152" s="1">
        <v>66870.62</v>
      </c>
      <c r="L152" s="1">
        <v>6055</v>
      </c>
      <c r="M152" s="1">
        <v>7.4999999999999997E-2</v>
      </c>
      <c r="N152" s="1">
        <v>19</v>
      </c>
      <c r="O152" s="1">
        <v>93.8</v>
      </c>
      <c r="P152" s="1">
        <v>0.54</v>
      </c>
      <c r="Q152" s="1">
        <v>0</v>
      </c>
      <c r="R152" s="1">
        <v>4.3</v>
      </c>
      <c r="S152" s="1">
        <v>692008.64</v>
      </c>
      <c r="T152" s="1">
        <v>116337.87</v>
      </c>
      <c r="U152">
        <f>146249.7963 + (33.6835738*L152) + (1.176703422*K152) + (3062.934007*O152) + (-39654.57312*H152) + (-22957.90276*I152) + (-11306.62502*J152)</f>
        <v>693236.03014086164</v>
      </c>
      <c r="V152">
        <f>S152-U152</f>
        <v>-1227.3901408616221</v>
      </c>
      <c r="W152" s="30">
        <f>V152/S152*100</f>
        <v>-0.1773663029498623</v>
      </c>
    </row>
    <row r="153" spans="1:23">
      <c r="A153" s="1" t="s">
        <v>82</v>
      </c>
      <c r="B153" s="3">
        <v>45717</v>
      </c>
      <c r="C153" s="1" t="s">
        <v>24</v>
      </c>
      <c r="D153" s="1">
        <f>IF(C153="East",1,0)</f>
        <v>0</v>
      </c>
      <c r="E153" s="1">
        <f>IF(C153="West",1,0)</f>
        <v>0</v>
      </c>
      <c r="F153" s="1">
        <f>IF(C153="North",1,0)</f>
        <v>0</v>
      </c>
      <c r="G153" s="1" t="s">
        <v>21</v>
      </c>
      <c r="H153" s="1">
        <f>IF(G153="Residential",1,0)</f>
        <v>0</v>
      </c>
      <c r="I153" s="1">
        <f>IF(G153="High Street",1,0)</f>
        <v>0</v>
      </c>
      <c r="J153" s="1">
        <f>IF(G153="Mall",1,0)</f>
        <v>0</v>
      </c>
      <c r="K153" s="1">
        <v>70799.64</v>
      </c>
      <c r="L153" s="1">
        <v>10076</v>
      </c>
      <c r="M153" s="1">
        <v>0.152</v>
      </c>
      <c r="N153" s="1">
        <v>24</v>
      </c>
      <c r="O153" s="1">
        <v>84.8</v>
      </c>
      <c r="P153" s="1">
        <v>1.87</v>
      </c>
      <c r="Q153" s="1">
        <v>0</v>
      </c>
      <c r="R153" s="1">
        <v>3.5</v>
      </c>
      <c r="S153" s="1">
        <v>828219.67</v>
      </c>
      <c r="T153" s="1">
        <v>179806.87</v>
      </c>
      <c r="U153">
        <f>146249.7963 + (33.6835738*L153) + (1.176703422*K153) + (3062.934007*O153) + (-39654.57312*H153) + (-22957.90276*I153) + (-11306.62502*J153)</f>
        <v>828692.46836676798</v>
      </c>
      <c r="V153">
        <f>S153-U153</f>
        <v>-472.79836676793639</v>
      </c>
      <c r="W153" s="30">
        <f>V153/S153*100</f>
        <v>-5.7086106970622462E-2</v>
      </c>
    </row>
    <row r="154" spans="1:23">
      <c r="A154" s="1" t="s">
        <v>39</v>
      </c>
      <c r="B154" s="3">
        <v>45717</v>
      </c>
      <c r="C154" s="1" t="s">
        <v>15</v>
      </c>
      <c r="D154" s="1">
        <f>IF(C154="East",1,0)</f>
        <v>1</v>
      </c>
      <c r="E154" s="1">
        <f>IF(C154="West",1,0)</f>
        <v>0</v>
      </c>
      <c r="F154" s="1">
        <f>IF(C154="North",1,0)</f>
        <v>0</v>
      </c>
      <c r="G154" s="1" t="s">
        <v>18</v>
      </c>
      <c r="H154" s="1">
        <f>IF(G154="Residential",1,0)</f>
        <v>0</v>
      </c>
      <c r="I154" s="1">
        <f>IF(G154="High Street",1,0)</f>
        <v>1</v>
      </c>
      <c r="J154" s="1">
        <f>IF(G154="Mall",1,0)</f>
        <v>0</v>
      </c>
      <c r="K154" s="1">
        <v>60571.82</v>
      </c>
      <c r="L154" s="1">
        <v>3193</v>
      </c>
      <c r="M154" s="1">
        <v>0.19700000000000001</v>
      </c>
      <c r="N154" s="1">
        <v>7</v>
      </c>
      <c r="O154" s="1">
        <v>99</v>
      </c>
      <c r="P154" s="1">
        <v>1.43</v>
      </c>
      <c r="Q154" s="1">
        <v>0</v>
      </c>
      <c r="R154" s="1">
        <v>3.2</v>
      </c>
      <c r="S154" s="1">
        <v>605023.87</v>
      </c>
      <c r="T154" s="1">
        <v>98545.81</v>
      </c>
      <c r="U154">
        <f>146249.7963 + (33.6835738*L154) + (1.176703422*K154) + (3062.934007*O154) + (-39654.57312*H154) + (-22957.90276*I154) + (-11306.62502*J154)</f>
        <v>605349.07924716803</v>
      </c>
      <c r="V154">
        <f>S154-U154</f>
        <v>-325.20924716803711</v>
      </c>
      <c r="W154" s="30">
        <f>V154/S154*100</f>
        <v>-5.3751473833261676E-2</v>
      </c>
    </row>
    <row r="155" spans="1:23">
      <c r="A155" s="1" t="s">
        <v>48</v>
      </c>
      <c r="B155" s="3">
        <v>45748</v>
      </c>
      <c r="C155" s="1" t="s">
        <v>27</v>
      </c>
      <c r="D155" s="1">
        <f>IF(C155="East",1,0)</f>
        <v>0</v>
      </c>
      <c r="E155" s="1">
        <f>IF(C155="West",1,0)</f>
        <v>1</v>
      </c>
      <c r="F155" s="1">
        <f>IF(C155="North",1,0)</f>
        <v>0</v>
      </c>
      <c r="G155" s="1" t="s">
        <v>18</v>
      </c>
      <c r="H155" s="1">
        <f>IF(G155="Residential",1,0)</f>
        <v>0</v>
      </c>
      <c r="I155" s="1">
        <f>IF(G155="High Street",1,0)</f>
        <v>1</v>
      </c>
      <c r="J155" s="1">
        <f>IF(G155="Mall",1,0)</f>
        <v>0</v>
      </c>
      <c r="K155" s="1">
        <v>31042.03</v>
      </c>
      <c r="L155" s="1">
        <v>7107</v>
      </c>
      <c r="M155" s="1">
        <v>5.0999999999999997E-2</v>
      </c>
      <c r="N155" s="1">
        <v>15</v>
      </c>
      <c r="O155" s="1">
        <v>87</v>
      </c>
      <c r="P155" s="1">
        <v>13.33</v>
      </c>
      <c r="Q155" s="1">
        <v>0</v>
      </c>
      <c r="R155" s="1">
        <v>3.2</v>
      </c>
      <c r="S155" s="1">
        <v>665594.93999999994</v>
      </c>
      <c r="T155" s="1">
        <v>127597.34</v>
      </c>
      <c r="U155">
        <f>146249.7963 + (33.6835738*L155) + (1.176703422*K155) + (3062.934007*O155) + (-39654.57312*H155) + (-22957.90276*I155) + (-11306.62502*J155)</f>
        <v>665683.57407242665</v>
      </c>
      <c r="V155">
        <f>S155-U155</f>
        <v>-88.634072426706553</v>
      </c>
      <c r="W155" s="30">
        <f>V155/S155*100</f>
        <v>-1.3316518365765606E-2</v>
      </c>
    </row>
    <row r="156" spans="1:23">
      <c r="A156" s="1" t="s">
        <v>86</v>
      </c>
      <c r="B156" s="3">
        <v>45717</v>
      </c>
      <c r="C156" s="1" t="s">
        <v>24</v>
      </c>
      <c r="D156" s="1">
        <f>IF(C156="East",1,0)</f>
        <v>0</v>
      </c>
      <c r="E156" s="1">
        <f>IF(C156="West",1,0)</f>
        <v>0</v>
      </c>
      <c r="F156" s="1">
        <f>IF(C156="North",1,0)</f>
        <v>0</v>
      </c>
      <c r="G156" s="1" t="s">
        <v>28</v>
      </c>
      <c r="H156" s="1">
        <f>IF(G156="Residential",1,0)</f>
        <v>0</v>
      </c>
      <c r="I156" s="1">
        <f>IF(G156="High Street",1,0)</f>
        <v>0</v>
      </c>
      <c r="J156" s="1">
        <f>IF(G156="Mall",1,0)</f>
        <v>1</v>
      </c>
      <c r="K156" s="1">
        <v>44189.34</v>
      </c>
      <c r="L156" s="1">
        <v>8634</v>
      </c>
      <c r="M156" s="1">
        <v>0.14299999999999999</v>
      </c>
      <c r="N156" s="1">
        <v>19</v>
      </c>
      <c r="O156" s="1">
        <v>87.5</v>
      </c>
      <c r="P156" s="1">
        <v>3.69</v>
      </c>
      <c r="Q156" s="1">
        <v>0</v>
      </c>
      <c r="R156" s="1">
        <v>4.4000000000000004</v>
      </c>
      <c r="S156" s="1">
        <v>746115.59</v>
      </c>
      <c r="T156" s="1">
        <v>94662.96</v>
      </c>
      <c r="U156">
        <f>146249.7963 + (33.6835738*L156) + (1.176703422*K156) + (3062.934007*O156) + (-39654.57312*H156) + (-22957.90276*I156) + (-11306.62502*J156)</f>
        <v>745771.62067562144</v>
      </c>
      <c r="V156">
        <f>S156-U156</f>
        <v>343.96932437852956</v>
      </c>
      <c r="W156" s="30">
        <f>V156/S156*100</f>
        <v>4.6101345285993765E-2</v>
      </c>
    </row>
    <row r="157" spans="1:23">
      <c r="A157" s="1" t="s">
        <v>43</v>
      </c>
      <c r="B157" s="3">
        <v>45717</v>
      </c>
      <c r="C157" s="1" t="s">
        <v>27</v>
      </c>
      <c r="D157" s="1">
        <f>IF(C157="East",1,0)</f>
        <v>0</v>
      </c>
      <c r="E157" s="1">
        <f>IF(C157="West",1,0)</f>
        <v>1</v>
      </c>
      <c r="F157" s="1">
        <f>IF(C157="North",1,0)</f>
        <v>0</v>
      </c>
      <c r="G157" s="1" t="s">
        <v>18</v>
      </c>
      <c r="H157" s="1">
        <f>IF(G157="Residential",1,0)</f>
        <v>0</v>
      </c>
      <c r="I157" s="1">
        <f>IF(G157="High Street",1,0)</f>
        <v>1</v>
      </c>
      <c r="J157" s="1">
        <f>IF(G157="Mall",1,0)</f>
        <v>0</v>
      </c>
      <c r="K157" s="1">
        <v>78231.91</v>
      </c>
      <c r="L157" s="1">
        <v>3788</v>
      </c>
      <c r="M157" s="1">
        <v>5.8999999999999997E-2</v>
      </c>
      <c r="N157" s="1">
        <v>11</v>
      </c>
      <c r="O157" s="1">
        <v>88.5</v>
      </c>
      <c r="P157" s="1">
        <v>15.51</v>
      </c>
      <c r="Q157" s="1">
        <v>0</v>
      </c>
      <c r="R157" s="1">
        <v>4.3</v>
      </c>
      <c r="S157" s="1">
        <v>614596.31999999995</v>
      </c>
      <c r="T157" s="1">
        <v>131199.41</v>
      </c>
      <c r="U157">
        <f>146249.7963 + (33.6835738*L157) + (1.176703422*K157) + (3062.934007*O157) + (-39654.57312*H157) + (-22957.90276*I157) + (-11306.62502*J157)</f>
        <v>614010.68692049605</v>
      </c>
      <c r="V157">
        <f>S157-U157</f>
        <v>585.63307950389571</v>
      </c>
      <c r="W157" s="30">
        <f>V157/S157*100</f>
        <v>9.5287436720072741E-2</v>
      </c>
    </row>
    <row r="158" spans="1:23">
      <c r="A158" s="1" t="s">
        <v>70</v>
      </c>
      <c r="B158" s="3">
        <v>45689</v>
      </c>
      <c r="C158" s="1" t="s">
        <v>27</v>
      </c>
      <c r="D158" s="1">
        <f>IF(C158="East",1,0)</f>
        <v>0</v>
      </c>
      <c r="E158" s="1">
        <f>IF(C158="West",1,0)</f>
        <v>1</v>
      </c>
      <c r="F158" s="1">
        <f>IF(C158="North",1,0)</f>
        <v>0</v>
      </c>
      <c r="G158" s="1" t="s">
        <v>16</v>
      </c>
      <c r="H158" s="1">
        <f>IF(G158="Residential",1,0)</f>
        <v>1</v>
      </c>
      <c r="I158" s="1">
        <f>IF(G158="High Street",1,0)</f>
        <v>0</v>
      </c>
      <c r="J158" s="1">
        <f>IF(G158="Mall",1,0)</f>
        <v>0</v>
      </c>
      <c r="K158" s="1">
        <v>51133.43</v>
      </c>
      <c r="L158" s="1">
        <v>5150</v>
      </c>
      <c r="M158" s="1">
        <v>0.15</v>
      </c>
      <c r="N158" s="1">
        <v>12</v>
      </c>
      <c r="O158" s="1">
        <v>88.5</v>
      </c>
      <c r="P158" s="1">
        <v>1.54</v>
      </c>
      <c r="Q158" s="1">
        <v>0</v>
      </c>
      <c r="R158" s="1">
        <v>3.2</v>
      </c>
      <c r="S158" s="1">
        <v>611924.27</v>
      </c>
      <c r="T158" s="1">
        <v>115488.75</v>
      </c>
      <c r="U158">
        <f>146249.7963 + (33.6835738*L158) + (1.176703422*K158) + (3062.934007*O158) + (-39654.57312*H158) + (-22957.90276*I158) + (-11306.62502*J158)</f>
        <v>611304.16992909752</v>
      </c>
      <c r="V158">
        <f>S158-U158</f>
        <v>620.10007090249564</v>
      </c>
      <c r="W158" s="30">
        <f>V158/S158*100</f>
        <v>0.10133608050919367</v>
      </c>
    </row>
    <row r="159" spans="1:23">
      <c r="A159" s="1" t="s">
        <v>101</v>
      </c>
      <c r="B159" s="3">
        <v>45717</v>
      </c>
      <c r="C159" s="1" t="s">
        <v>15</v>
      </c>
      <c r="D159" s="1">
        <f>IF(C159="East",1,0)</f>
        <v>1</v>
      </c>
      <c r="E159" s="1">
        <f>IF(C159="West",1,0)</f>
        <v>0</v>
      </c>
      <c r="F159" s="1">
        <f>IF(C159="North",1,0)</f>
        <v>0</v>
      </c>
      <c r="G159" s="1" t="s">
        <v>16</v>
      </c>
      <c r="H159" s="1">
        <f>IF(G159="Residential",1,0)</f>
        <v>1</v>
      </c>
      <c r="I159" s="1">
        <f>IF(G159="High Street",1,0)</f>
        <v>0</v>
      </c>
      <c r="J159" s="1">
        <f>IF(G159="Mall",1,0)</f>
        <v>0</v>
      </c>
      <c r="K159" s="1">
        <v>81902.58</v>
      </c>
      <c r="L159" s="1">
        <v>7775</v>
      </c>
      <c r="M159" s="1">
        <v>0.215</v>
      </c>
      <c r="N159" s="1">
        <v>20</v>
      </c>
      <c r="O159" s="1">
        <v>85.2</v>
      </c>
      <c r="P159" s="1">
        <v>4.8899999999999997</v>
      </c>
      <c r="Q159" s="1">
        <v>1</v>
      </c>
      <c r="R159" s="1">
        <v>4.2</v>
      </c>
      <c r="S159" s="1">
        <v>726776.22</v>
      </c>
      <c r="T159" s="1">
        <v>90804.49</v>
      </c>
      <c r="U159">
        <f>146249.7963 + (33.6835738*L159) + (1.176703422*K159) + (3062.934007*O159) + (-39654.57312*H159) + (-22957.90276*I159) + (-11306.62502*J159)</f>
        <v>725822.03302802879</v>
      </c>
      <c r="V159">
        <f>S159-U159</f>
        <v>954.18697197118308</v>
      </c>
      <c r="W159" s="30">
        <f>V159/S159*100</f>
        <v>0.13129034023308894</v>
      </c>
    </row>
    <row r="160" spans="1:23">
      <c r="A160" s="1" t="s">
        <v>83</v>
      </c>
      <c r="B160" s="3">
        <v>45689</v>
      </c>
      <c r="C160" s="1" t="s">
        <v>15</v>
      </c>
      <c r="D160" s="1">
        <f>IF(C160="East",1,0)</f>
        <v>1</v>
      </c>
      <c r="E160" s="1">
        <f>IF(C160="West",1,0)</f>
        <v>0</v>
      </c>
      <c r="F160" s="1">
        <f>IF(C160="North",1,0)</f>
        <v>0</v>
      </c>
      <c r="G160" s="1" t="s">
        <v>18</v>
      </c>
      <c r="H160" s="1">
        <f>IF(G160="Residential",1,0)</f>
        <v>0</v>
      </c>
      <c r="I160" s="1">
        <f>IF(G160="High Street",1,0)</f>
        <v>1</v>
      </c>
      <c r="J160" s="1">
        <f>IF(G160="Mall",1,0)</f>
        <v>0</v>
      </c>
      <c r="K160" s="1">
        <v>48060.78</v>
      </c>
      <c r="L160" s="1">
        <v>8733</v>
      </c>
      <c r="M160" s="1">
        <v>0</v>
      </c>
      <c r="N160" s="1">
        <v>20</v>
      </c>
      <c r="O160" s="1">
        <v>89.9</v>
      </c>
      <c r="P160" s="1">
        <v>0.8</v>
      </c>
      <c r="Q160" s="1">
        <v>0</v>
      </c>
      <c r="R160" s="1">
        <v>3.4</v>
      </c>
      <c r="S160" s="1">
        <v>750471.34</v>
      </c>
      <c r="T160" s="1">
        <v>133788.04</v>
      </c>
      <c r="U160">
        <f>146249.7963 + (33.6835738*L160) + (1.176703422*K160) + (3062.934007*O160) + (-39654.57312*H160) + (-22957.90276*I160) + (-11306.62502*J160)</f>
        <v>749361.5950546891</v>
      </c>
      <c r="V160">
        <f>S160-U160</f>
        <v>1109.7449453108711</v>
      </c>
      <c r="W160" s="30">
        <f>V160/S160*100</f>
        <v>0.14787306138977555</v>
      </c>
    </row>
    <row r="161" spans="1:23">
      <c r="A161" s="1" t="s">
        <v>81</v>
      </c>
      <c r="B161" s="3">
        <v>45748</v>
      </c>
      <c r="C161" s="1" t="s">
        <v>27</v>
      </c>
      <c r="D161" s="1">
        <f>IF(C161="East",1,0)</f>
        <v>0</v>
      </c>
      <c r="E161" s="1">
        <f>IF(C161="West",1,0)</f>
        <v>1</v>
      </c>
      <c r="F161" s="1">
        <f>IF(C161="North",1,0)</f>
        <v>0</v>
      </c>
      <c r="G161" s="1" t="s">
        <v>28</v>
      </c>
      <c r="H161" s="1">
        <f>IF(G161="Residential",1,0)</f>
        <v>0</v>
      </c>
      <c r="I161" s="1">
        <f>IF(G161="High Street",1,0)</f>
        <v>0</v>
      </c>
      <c r="J161" s="1">
        <f>IF(G161="Mall",1,0)</f>
        <v>1</v>
      </c>
      <c r="K161" s="1">
        <v>26248.1</v>
      </c>
      <c r="L161" s="1">
        <v>9314</v>
      </c>
      <c r="M161" s="1">
        <v>0.186</v>
      </c>
      <c r="N161" s="1">
        <v>21</v>
      </c>
      <c r="O161" s="1">
        <v>83.7</v>
      </c>
      <c r="P161" s="1">
        <v>4.62</v>
      </c>
      <c r="Q161" s="1">
        <v>0</v>
      </c>
      <c r="R161" s="1">
        <v>3.3</v>
      </c>
      <c r="S161" s="1">
        <v>737070.18</v>
      </c>
      <c r="T161" s="1">
        <v>117593.97</v>
      </c>
      <c r="U161">
        <f>146249.7963 + (33.6835738*L161) + (1.176703422*K161) + (3062.934007*O161) + (-39654.57312*H161) + (-22957.90276*I161) + (-11306.62502*J161)</f>
        <v>735925.78313009813</v>
      </c>
      <c r="V161">
        <f>S161-U161</f>
        <v>1144.3968699019169</v>
      </c>
      <c r="W161" s="30">
        <f>V161/S161*100</f>
        <v>0.15526294523296502</v>
      </c>
    </row>
    <row r="162" spans="1:23">
      <c r="A162" s="1" t="s">
        <v>58</v>
      </c>
      <c r="B162" s="3">
        <v>45717</v>
      </c>
      <c r="C162" s="1" t="s">
        <v>20</v>
      </c>
      <c r="D162" s="1">
        <f>IF(C162="East",1,0)</f>
        <v>0</v>
      </c>
      <c r="E162" s="1">
        <f>IF(C162="West",1,0)</f>
        <v>0</v>
      </c>
      <c r="F162" s="1">
        <f>IF(C162="North",1,0)</f>
        <v>1</v>
      </c>
      <c r="G162" s="1" t="s">
        <v>16</v>
      </c>
      <c r="H162" s="1">
        <f>IF(G162="Residential",1,0)</f>
        <v>1</v>
      </c>
      <c r="I162" s="1">
        <f>IF(G162="High Street",1,0)</f>
        <v>0</v>
      </c>
      <c r="J162" s="1">
        <f>IF(G162="Mall",1,0)</f>
        <v>0</v>
      </c>
      <c r="K162" s="1">
        <v>53351.7</v>
      </c>
      <c r="L162" s="1">
        <v>4259</v>
      </c>
      <c r="M162" s="1">
        <v>0.156</v>
      </c>
      <c r="N162" s="1">
        <v>15</v>
      </c>
      <c r="O162" s="1">
        <v>93.7</v>
      </c>
      <c r="P162" s="1">
        <v>6.03</v>
      </c>
      <c r="Q162" s="1">
        <v>0</v>
      </c>
      <c r="R162" s="1">
        <v>3.4</v>
      </c>
      <c r="S162" s="1">
        <v>601568.87</v>
      </c>
      <c r="T162" s="1">
        <v>91634.82</v>
      </c>
      <c r="U162">
        <f>146249.7963 + (33.6835738*L162) + (1.176703422*K162) + (3062.934007*O162) + (-39654.57312*H162) + (-22957.90276*I162) + (-11306.62502*J162)</f>
        <v>599829.60840961745</v>
      </c>
      <c r="V162">
        <f>S162-U162</f>
        <v>1739.2615903825499</v>
      </c>
      <c r="W162" s="30">
        <f>V162/S162*100</f>
        <v>0.28912094310707098</v>
      </c>
    </row>
    <row r="163" spans="1:23">
      <c r="A163" s="1" t="s">
        <v>23</v>
      </c>
      <c r="B163" s="3">
        <v>45748</v>
      </c>
      <c r="C163" s="1" t="s">
        <v>24</v>
      </c>
      <c r="D163" s="1">
        <f>IF(C163="East",1,0)</f>
        <v>0</v>
      </c>
      <c r="E163" s="1">
        <f>IF(C163="West",1,0)</f>
        <v>0</v>
      </c>
      <c r="F163" s="1">
        <f>IF(C163="North",1,0)</f>
        <v>0</v>
      </c>
      <c r="G163" s="1" t="s">
        <v>16</v>
      </c>
      <c r="H163" s="1">
        <f>IF(G163="Residential",1,0)</f>
        <v>1</v>
      </c>
      <c r="I163" s="1">
        <f>IF(G163="High Street",1,0)</f>
        <v>0</v>
      </c>
      <c r="J163" s="1">
        <f>IF(G163="Mall",1,0)</f>
        <v>0</v>
      </c>
      <c r="K163" s="1">
        <v>41441.93</v>
      </c>
      <c r="L163" s="1">
        <v>4865</v>
      </c>
      <c r="M163" s="1">
        <v>0.158</v>
      </c>
      <c r="N163" s="1">
        <v>16</v>
      </c>
      <c r="O163" s="1">
        <v>88.3</v>
      </c>
      <c r="P163" s="1">
        <v>0.5</v>
      </c>
      <c r="Q163" s="1">
        <v>0</v>
      </c>
      <c r="R163" s="1">
        <v>4</v>
      </c>
      <c r="S163" s="1">
        <v>591619.94999999995</v>
      </c>
      <c r="T163" s="1">
        <v>99521.35</v>
      </c>
      <c r="U163">
        <f>146249.7963 + (33.6835738*L163) + (1.176703422*K163) + (3062.934007*O163) + (-39654.57312*H163) + (-22957.90276*I163) + (-11306.62502*J163)</f>
        <v>589687.7433803844</v>
      </c>
      <c r="V163">
        <f>S163-U163</f>
        <v>1932.2066196155502</v>
      </c>
      <c r="W163" s="30">
        <f>V163/S163*100</f>
        <v>0.32659592017063493</v>
      </c>
    </row>
    <row r="164" spans="1:23">
      <c r="A164" s="1" t="s">
        <v>32</v>
      </c>
      <c r="B164" s="3">
        <v>45748</v>
      </c>
      <c r="C164" s="1" t="s">
        <v>15</v>
      </c>
      <c r="D164" s="1">
        <f>IF(C164="East",1,0)</f>
        <v>1</v>
      </c>
      <c r="E164" s="1">
        <f>IF(C164="West",1,0)</f>
        <v>0</v>
      </c>
      <c r="F164" s="1">
        <f>IF(C164="North",1,0)</f>
        <v>0</v>
      </c>
      <c r="G164" s="1" t="s">
        <v>28</v>
      </c>
      <c r="H164" s="1">
        <f>IF(G164="Residential",1,0)</f>
        <v>0</v>
      </c>
      <c r="I164" s="1">
        <f>IF(G164="High Street",1,0)</f>
        <v>0</v>
      </c>
      <c r="J164" s="1">
        <f>IF(G164="Mall",1,0)</f>
        <v>1</v>
      </c>
      <c r="K164" s="1">
        <v>64882.14</v>
      </c>
      <c r="L164" s="1">
        <v>3642</v>
      </c>
      <c r="M164" s="1">
        <v>1.9E-2</v>
      </c>
      <c r="N164" s="1">
        <v>13</v>
      </c>
      <c r="O164" s="1">
        <v>87.8</v>
      </c>
      <c r="P164" s="1">
        <v>4.5199999999999996</v>
      </c>
      <c r="Q164" s="1">
        <v>0</v>
      </c>
      <c r="R164" s="1">
        <v>4.2</v>
      </c>
      <c r="S164" s="1">
        <v>605178</v>
      </c>
      <c r="T164" s="1">
        <v>106958.74</v>
      </c>
      <c r="U164">
        <f>146249.7963 + (33.6835738*L164) + (1.176703422*K164) + (3062.934007*O164) + (-39654.57312*H164) + (-22957.90276*I164) + (-11306.62502*J164)</f>
        <v>602891.38903888303</v>
      </c>
      <c r="V164">
        <f>S164-U164</f>
        <v>2286.6109611169668</v>
      </c>
      <c r="W164" s="30">
        <f>V164/S164*100</f>
        <v>0.37784105851781902</v>
      </c>
    </row>
    <row r="165" spans="1:23">
      <c r="A165" s="1" t="s">
        <v>63</v>
      </c>
      <c r="B165" s="3">
        <v>45748</v>
      </c>
      <c r="C165" s="1" t="s">
        <v>20</v>
      </c>
      <c r="D165" s="1">
        <f>IF(C165="East",1,0)</f>
        <v>0</v>
      </c>
      <c r="E165" s="1">
        <f>IF(C165="West",1,0)</f>
        <v>0</v>
      </c>
      <c r="F165" s="1">
        <f>IF(C165="North",1,0)</f>
        <v>1</v>
      </c>
      <c r="G165" s="1" t="s">
        <v>28</v>
      </c>
      <c r="H165" s="1">
        <f>IF(G165="Residential",1,0)</f>
        <v>0</v>
      </c>
      <c r="I165" s="1">
        <f>IF(G165="High Street",1,0)</f>
        <v>0</v>
      </c>
      <c r="J165" s="1">
        <f>IF(G165="Mall",1,0)</f>
        <v>1</v>
      </c>
      <c r="K165" s="1">
        <v>78432.14</v>
      </c>
      <c r="L165" s="1">
        <v>9440</v>
      </c>
      <c r="M165" s="1">
        <v>0.126</v>
      </c>
      <c r="N165" s="1">
        <v>23</v>
      </c>
      <c r="O165" s="1">
        <v>89.2</v>
      </c>
      <c r="P165" s="1">
        <v>7.86</v>
      </c>
      <c r="Q165" s="1">
        <v>0</v>
      </c>
      <c r="R165" s="1">
        <v>4.0999999999999996</v>
      </c>
      <c r="S165" s="1">
        <v>820729.29</v>
      </c>
      <c r="T165" s="1">
        <v>159325.47</v>
      </c>
      <c r="U165">
        <f>146249.7963 + (33.6835738*L165) + (1.176703422*K165) + (3062.934007*O165) + (-39654.57312*H165) + (-22957.90276*I165) + (-11306.62502*J165)</f>
        <v>818421.18890918314</v>
      </c>
      <c r="V165">
        <f>S165-U165</f>
        <v>2308.1010908168973</v>
      </c>
      <c r="W165" s="30">
        <f>V165/S165*100</f>
        <v>0.28122562688324393</v>
      </c>
    </row>
    <row r="166" spans="1:23">
      <c r="A166" s="1" t="s">
        <v>92</v>
      </c>
      <c r="B166" s="3">
        <v>45748</v>
      </c>
      <c r="C166" s="1" t="s">
        <v>24</v>
      </c>
      <c r="D166" s="1">
        <f>IF(C166="East",1,0)</f>
        <v>0</v>
      </c>
      <c r="E166" s="1">
        <f>IF(C166="West",1,0)</f>
        <v>0</v>
      </c>
      <c r="F166" s="1">
        <f>IF(C166="North",1,0)</f>
        <v>0</v>
      </c>
      <c r="G166" s="1" t="s">
        <v>18</v>
      </c>
      <c r="H166" s="1">
        <f>IF(G166="Residential",1,0)</f>
        <v>0</v>
      </c>
      <c r="I166" s="1">
        <f>IF(G166="High Street",1,0)</f>
        <v>1</v>
      </c>
      <c r="J166" s="1">
        <f>IF(G166="Mall",1,0)</f>
        <v>0</v>
      </c>
      <c r="K166" s="1">
        <v>18599.21</v>
      </c>
      <c r="L166" s="1">
        <v>3027</v>
      </c>
      <c r="M166" s="1">
        <v>0.122</v>
      </c>
      <c r="N166" s="1">
        <v>11</v>
      </c>
      <c r="O166" s="1">
        <v>80.900000000000006</v>
      </c>
      <c r="P166" s="1">
        <v>6.44</v>
      </c>
      <c r="Q166" s="1">
        <v>0</v>
      </c>
      <c r="R166" s="1">
        <v>4.2</v>
      </c>
      <c r="S166" s="1">
        <v>497439.82</v>
      </c>
      <c r="T166" s="1">
        <v>93372.75</v>
      </c>
      <c r="U166">
        <f>146249.7963 + (33.6835738*L166) + (1.176703422*K166) + (3062.934007*O166) + (-39654.57312*H166) + (-22957.90276*I166) + (-11306.62502*J166)</f>
        <v>494929.18665239663</v>
      </c>
      <c r="V166">
        <f>S166-U166</f>
        <v>2510.633347603376</v>
      </c>
      <c r="W166" s="30">
        <f>V166/S166*100</f>
        <v>0.50471097139014243</v>
      </c>
    </row>
    <row r="167" spans="1:23">
      <c r="A167" s="1" t="s">
        <v>45</v>
      </c>
      <c r="B167" s="3">
        <v>45658</v>
      </c>
      <c r="C167" s="1" t="s">
        <v>27</v>
      </c>
      <c r="D167" s="1">
        <f>IF(C167="East",1,0)</f>
        <v>0</v>
      </c>
      <c r="E167" s="1">
        <f>IF(C167="West",1,0)</f>
        <v>1</v>
      </c>
      <c r="F167" s="1">
        <f>IF(C167="North",1,0)</f>
        <v>0</v>
      </c>
      <c r="G167" s="1" t="s">
        <v>16</v>
      </c>
      <c r="H167" s="1">
        <f>IF(G167="Residential",1,0)</f>
        <v>1</v>
      </c>
      <c r="I167" s="1">
        <f>IF(G167="High Street",1,0)</f>
        <v>0</v>
      </c>
      <c r="J167" s="1">
        <f>IF(G167="Mall",1,0)</f>
        <v>0</v>
      </c>
      <c r="K167" s="1">
        <v>38966.589999999997</v>
      </c>
      <c r="L167" s="1">
        <v>4509</v>
      </c>
      <c r="M167" s="1">
        <v>0.19400000000000001</v>
      </c>
      <c r="N167" s="1">
        <v>14</v>
      </c>
      <c r="O167" s="1">
        <v>91.1</v>
      </c>
      <c r="P167" s="1">
        <v>2.92</v>
      </c>
      <c r="Q167" s="1">
        <v>0</v>
      </c>
      <c r="R167" s="1">
        <v>4.5999999999999996</v>
      </c>
      <c r="S167" s="1">
        <v>585937.48</v>
      </c>
      <c r="T167" s="1">
        <v>82624.2</v>
      </c>
      <c r="U167">
        <f>146249.7963 + (33.6835738*L167) + (1.176703422*K167) + (3062.934007*O167) + (-39654.57312*H167) + (-22957.90276*I167) + (-11306.62502*J167)</f>
        <v>583359.86527857103</v>
      </c>
      <c r="V167">
        <f>S167-U167</f>
        <v>2577.6147214289522</v>
      </c>
      <c r="W167" s="30">
        <f>V167/S167*100</f>
        <v>0.43991292747290239</v>
      </c>
    </row>
    <row r="168" spans="1:23">
      <c r="A168" s="1" t="s">
        <v>53</v>
      </c>
      <c r="B168" s="3">
        <v>45748</v>
      </c>
      <c r="C168" s="1" t="s">
        <v>24</v>
      </c>
      <c r="D168" s="1">
        <f>IF(C168="East",1,0)</f>
        <v>0</v>
      </c>
      <c r="E168" s="1">
        <f>IF(C168="West",1,0)</f>
        <v>0</v>
      </c>
      <c r="F168" s="1">
        <f>IF(C168="North",1,0)</f>
        <v>0</v>
      </c>
      <c r="G168" s="1" t="s">
        <v>18</v>
      </c>
      <c r="H168" s="1">
        <f>IF(G168="Residential",1,0)</f>
        <v>0</v>
      </c>
      <c r="I168" s="1">
        <f>IF(G168="High Street",1,0)</f>
        <v>1</v>
      </c>
      <c r="J168" s="1">
        <f>IF(G168="Mall",1,0)</f>
        <v>0</v>
      </c>
      <c r="K168" s="1">
        <v>37828.5</v>
      </c>
      <c r="L168" s="1">
        <v>8221</v>
      </c>
      <c r="M168" s="1">
        <v>9.6000000000000002E-2</v>
      </c>
      <c r="N168" s="1">
        <v>19</v>
      </c>
      <c r="O168" s="1">
        <v>81.5</v>
      </c>
      <c r="P168" s="1">
        <v>3.19</v>
      </c>
      <c r="Q168" s="1">
        <v>0</v>
      </c>
      <c r="R168" s="1">
        <v>4.8</v>
      </c>
      <c r="S168" s="1">
        <v>697155.3</v>
      </c>
      <c r="T168" s="1">
        <v>136408.54</v>
      </c>
      <c r="U168">
        <f>146249.7963 + (33.6835738*L168) + (1.176703422*K168) + (3062.934007*O168) + (-39654.57312*H168) + (-22957.90276*I168) + (-11306.62502*J168)</f>
        <v>694346.60071942699</v>
      </c>
      <c r="V168">
        <f>S168-U168</f>
        <v>2808.6992805730551</v>
      </c>
      <c r="W168" s="30">
        <f>V168/S168*100</f>
        <v>0.40288000113791789</v>
      </c>
    </row>
    <row r="169" spans="1:23">
      <c r="A169" s="1" t="s">
        <v>87</v>
      </c>
      <c r="B169" s="3">
        <v>45689</v>
      </c>
      <c r="C169" s="1" t="s">
        <v>27</v>
      </c>
      <c r="D169" s="1">
        <f>IF(C169="East",1,0)</f>
        <v>0</v>
      </c>
      <c r="E169" s="1">
        <f>IF(C169="West",1,0)</f>
        <v>1</v>
      </c>
      <c r="F169" s="1">
        <f>IF(C169="North",1,0)</f>
        <v>0</v>
      </c>
      <c r="G169" s="1" t="s">
        <v>18</v>
      </c>
      <c r="H169" s="1">
        <f>IF(G169="Residential",1,0)</f>
        <v>0</v>
      </c>
      <c r="I169" s="1">
        <f>IF(G169="High Street",1,0)</f>
        <v>1</v>
      </c>
      <c r="J169" s="1">
        <f>IF(G169="Mall",1,0)</f>
        <v>0</v>
      </c>
      <c r="K169" s="1">
        <v>43288.2</v>
      </c>
      <c r="L169" s="1">
        <v>4783</v>
      </c>
      <c r="M169" s="1">
        <v>0.16900000000000001</v>
      </c>
      <c r="N169" s="1">
        <v>13</v>
      </c>
      <c r="O169" s="1">
        <v>87.3</v>
      </c>
      <c r="P169" s="1">
        <v>3.36</v>
      </c>
      <c r="Q169" s="1">
        <v>0</v>
      </c>
      <c r="R169" s="1">
        <v>4.2</v>
      </c>
      <c r="S169" s="1">
        <v>605751.32999999996</v>
      </c>
      <c r="T169" s="1">
        <v>60685.53</v>
      </c>
      <c r="U169">
        <f>146249.7963 + (33.6835738*L169) + (1.176703422*K169) + (3062.934007*O169) + (-39654.57312*H169) + (-22957.90276*I169) + (-11306.62502*J169)</f>
        <v>602731.93890872039</v>
      </c>
      <c r="V169">
        <f>S169-U169</f>
        <v>3019.3910912795691</v>
      </c>
      <c r="W169" s="30">
        <f>V169/S169*100</f>
        <v>0.49845389382464406</v>
      </c>
    </row>
    <row r="170" spans="1:23">
      <c r="A170" s="1" t="s">
        <v>77</v>
      </c>
      <c r="B170" s="3">
        <v>45658</v>
      </c>
      <c r="C170" s="1" t="s">
        <v>15</v>
      </c>
      <c r="D170" s="1">
        <f>IF(C170="East",1,0)</f>
        <v>1</v>
      </c>
      <c r="E170" s="1">
        <f>IF(C170="West",1,0)</f>
        <v>0</v>
      </c>
      <c r="F170" s="1">
        <f>IF(C170="North",1,0)</f>
        <v>0</v>
      </c>
      <c r="G170" s="1" t="s">
        <v>18</v>
      </c>
      <c r="H170" s="1">
        <f>IF(G170="Residential",1,0)</f>
        <v>0</v>
      </c>
      <c r="I170" s="1">
        <f>IF(G170="High Street",1,0)</f>
        <v>1</v>
      </c>
      <c r="J170" s="1">
        <f>IF(G170="Mall",1,0)</f>
        <v>0</v>
      </c>
      <c r="K170" s="1">
        <v>53367.73</v>
      </c>
      <c r="L170" s="1">
        <v>7291</v>
      </c>
      <c r="M170" s="1">
        <v>0.14599999999999999</v>
      </c>
      <c r="N170" s="1">
        <v>18</v>
      </c>
      <c r="O170" s="1">
        <v>90.6</v>
      </c>
      <c r="P170" s="1">
        <v>6.34</v>
      </c>
      <c r="Q170" s="1">
        <v>1</v>
      </c>
      <c r="R170" s="1">
        <v>3.8</v>
      </c>
      <c r="S170" s="1">
        <v>712219.81</v>
      </c>
      <c r="T170" s="1">
        <v>85906.54</v>
      </c>
      <c r="U170">
        <f>146249.7963 + (33.6835738*L170) + (1.176703422*K170) + (3062.934007*O170) + (-39654.57312*H170) + (-22957.90276*I170) + (-11306.62502*J170)</f>
        <v>709178.64166537207</v>
      </c>
      <c r="V170">
        <f>S170-U170</f>
        <v>3041.1683346279897</v>
      </c>
      <c r="W170" s="30">
        <f>V170/S170*100</f>
        <v>0.42699856026582433</v>
      </c>
    </row>
    <row r="171" spans="1:23">
      <c r="A171" s="1" t="s">
        <v>59</v>
      </c>
      <c r="B171" s="3">
        <v>45689</v>
      </c>
      <c r="C171" s="1" t="s">
        <v>24</v>
      </c>
      <c r="D171" s="1">
        <f>IF(C171="East",1,0)</f>
        <v>0</v>
      </c>
      <c r="E171" s="1">
        <f>IF(C171="West",1,0)</f>
        <v>0</v>
      </c>
      <c r="F171" s="1">
        <f>IF(C171="North",1,0)</f>
        <v>0</v>
      </c>
      <c r="G171" s="1" t="s">
        <v>28</v>
      </c>
      <c r="H171" s="1">
        <f>IF(G171="Residential",1,0)</f>
        <v>0</v>
      </c>
      <c r="I171" s="1">
        <f>IF(G171="High Street",1,0)</f>
        <v>0</v>
      </c>
      <c r="J171" s="1">
        <f>IF(G171="Mall",1,0)</f>
        <v>1</v>
      </c>
      <c r="K171" s="1">
        <v>43319.94</v>
      </c>
      <c r="L171" s="1">
        <v>6551</v>
      </c>
      <c r="M171" s="1">
        <v>4.3999999999999997E-2</v>
      </c>
      <c r="N171" s="1">
        <v>13</v>
      </c>
      <c r="O171" s="1">
        <v>99</v>
      </c>
      <c r="P171" s="1">
        <v>5.45</v>
      </c>
      <c r="Q171" s="1">
        <v>0</v>
      </c>
      <c r="R171" s="1">
        <v>4.0999999999999996</v>
      </c>
      <c r="S171" s="1">
        <v>712868.35</v>
      </c>
      <c r="T171" s="1">
        <v>133650.51</v>
      </c>
      <c r="U171">
        <f>146249.7963 + (33.6835738*L171) + (1.176703422*K171) + (3062.934007*O171) + (-39654.57312*H171) + (-22957.90276*I171) + (-11306.62502*J171)</f>
        <v>709809.45157563465</v>
      </c>
      <c r="V171">
        <f>S171-U171</f>
        <v>3058.8984243653249</v>
      </c>
      <c r="W171" s="30">
        <f>V171/S171*100</f>
        <v>0.42909724135814492</v>
      </c>
    </row>
    <row r="172" spans="1:23">
      <c r="A172" s="1" t="s">
        <v>93</v>
      </c>
      <c r="B172" s="3">
        <v>45748</v>
      </c>
      <c r="C172" s="1" t="s">
        <v>27</v>
      </c>
      <c r="D172" s="1">
        <f>IF(C172="East",1,0)</f>
        <v>0</v>
      </c>
      <c r="E172" s="1">
        <f>IF(C172="West",1,0)</f>
        <v>1</v>
      </c>
      <c r="F172" s="1">
        <f>IF(C172="North",1,0)</f>
        <v>0</v>
      </c>
      <c r="G172" s="1" t="s">
        <v>16</v>
      </c>
      <c r="H172" s="1">
        <f>IF(G172="Residential",1,0)</f>
        <v>1</v>
      </c>
      <c r="I172" s="1">
        <f>IF(G172="High Street",1,0)</f>
        <v>0</v>
      </c>
      <c r="J172" s="1">
        <f>IF(G172="Mall",1,0)</f>
        <v>0</v>
      </c>
      <c r="K172" s="1">
        <v>40928.69</v>
      </c>
      <c r="L172" s="1">
        <v>4094</v>
      </c>
      <c r="M172" s="1">
        <v>0.17399999999999999</v>
      </c>
      <c r="N172" s="1">
        <v>13</v>
      </c>
      <c r="O172" s="1">
        <v>82.4</v>
      </c>
      <c r="P172" s="1">
        <v>1.36</v>
      </c>
      <c r="Q172" s="1">
        <v>0</v>
      </c>
      <c r="R172" s="1">
        <v>4.8</v>
      </c>
      <c r="S172" s="1">
        <v>548103.69999999995</v>
      </c>
      <c r="T172" s="1">
        <v>99905.52</v>
      </c>
      <c r="U172">
        <f>146249.7963 + (33.6835738*L172) + (1.176703422*K172) + (3062.934007*O172) + (-39654.57312*H172) + (-22957.90276*I172) + (-11306.62502*J172)</f>
        <v>545042.46607497719</v>
      </c>
      <c r="V172">
        <f>S172-U172</f>
        <v>3061.2339250227669</v>
      </c>
      <c r="W172" s="30">
        <f>V172/S172*100</f>
        <v>0.55851363985004432</v>
      </c>
    </row>
    <row r="173" spans="1:23">
      <c r="A173" s="1" t="s">
        <v>25</v>
      </c>
      <c r="B173" s="3">
        <v>45689</v>
      </c>
      <c r="C173" s="1" t="s">
        <v>20</v>
      </c>
      <c r="D173" s="1">
        <f>IF(C173="East",1,0)</f>
        <v>0</v>
      </c>
      <c r="E173" s="1">
        <f>IF(C173="West",1,0)</f>
        <v>0</v>
      </c>
      <c r="F173" s="1">
        <f>IF(C173="North",1,0)</f>
        <v>1</v>
      </c>
      <c r="G173" s="1" t="s">
        <v>16</v>
      </c>
      <c r="H173" s="1">
        <f>IF(G173="Residential",1,0)</f>
        <v>1</v>
      </c>
      <c r="I173" s="1">
        <f>IF(G173="High Street",1,0)</f>
        <v>0</v>
      </c>
      <c r="J173" s="1">
        <f>IF(G173="Mall",1,0)</f>
        <v>0</v>
      </c>
      <c r="K173" s="1">
        <v>33518.879999999997</v>
      </c>
      <c r="L173" s="1">
        <v>2121</v>
      </c>
      <c r="M173" s="1">
        <v>0.17599999999999999</v>
      </c>
      <c r="N173" s="1">
        <v>8</v>
      </c>
      <c r="O173" s="1">
        <v>88.5</v>
      </c>
      <c r="P173" s="1">
        <v>0.2</v>
      </c>
      <c r="Q173" s="1">
        <v>0</v>
      </c>
      <c r="R173" s="1">
        <v>5</v>
      </c>
      <c r="S173" s="1">
        <v>491905.13</v>
      </c>
      <c r="T173" s="1">
        <v>79212.259999999995</v>
      </c>
      <c r="U173">
        <f>146249.7963 + (33.6835738*L173) + (1.176703422*K173) + (3062.934007*O173) + (-39654.57312*H173) + (-22957.90276*I173) + (-11306.62502*J173)</f>
        <v>488549.52362690732</v>
      </c>
      <c r="V173">
        <f>S173-U173</f>
        <v>3355.6063730926835</v>
      </c>
      <c r="W173" s="30">
        <f>V173/S173*100</f>
        <v>0.68216535434234715</v>
      </c>
    </row>
    <row r="174" spans="1:23">
      <c r="A174" s="1" t="s">
        <v>26</v>
      </c>
      <c r="B174" s="3">
        <v>45748</v>
      </c>
      <c r="C174" s="1" t="s">
        <v>27</v>
      </c>
      <c r="D174" s="1">
        <f>IF(C174="East",1,0)</f>
        <v>0</v>
      </c>
      <c r="E174" s="1">
        <f>IF(C174="West",1,0)</f>
        <v>1</v>
      </c>
      <c r="F174" s="1">
        <f>IF(C174="North",1,0)</f>
        <v>0</v>
      </c>
      <c r="G174" s="1" t="s">
        <v>28</v>
      </c>
      <c r="H174" s="1">
        <f>IF(G174="Residential",1,0)</f>
        <v>0</v>
      </c>
      <c r="I174" s="1">
        <f>IF(G174="High Street",1,0)</f>
        <v>0</v>
      </c>
      <c r="J174" s="1">
        <f>IF(G174="Mall",1,0)</f>
        <v>1</v>
      </c>
      <c r="K174" s="1">
        <v>52715.1</v>
      </c>
      <c r="L174" s="1">
        <v>7223</v>
      </c>
      <c r="M174" s="1">
        <v>0.122</v>
      </c>
      <c r="N174" s="1">
        <v>16</v>
      </c>
      <c r="O174" s="1">
        <v>84.2</v>
      </c>
      <c r="P174" s="1">
        <v>16.149999999999999</v>
      </c>
      <c r="Q174" s="1">
        <v>0</v>
      </c>
      <c r="R174" s="1">
        <v>3.7</v>
      </c>
      <c r="S174" s="1">
        <v>701641.97</v>
      </c>
      <c r="T174" s="1">
        <v>106111.86</v>
      </c>
      <c r="U174">
        <f>146249.7963 + (33.6835738*L174) + (1.176703422*K174) + (3062.934007*O174) + (-39654.57312*H174) + (-22957.90276*I174) + (-11306.62502*J174)</f>
        <v>698168.70678787213</v>
      </c>
      <c r="V174">
        <f>S174-U174</f>
        <v>3473.2632121278439</v>
      </c>
      <c r="W174" s="30">
        <f>V174/S174*100</f>
        <v>0.49501930623218626</v>
      </c>
    </row>
    <row r="175" spans="1:23">
      <c r="A175" s="1" t="s">
        <v>32</v>
      </c>
      <c r="B175" s="3">
        <v>45689</v>
      </c>
      <c r="C175" s="1" t="s">
        <v>15</v>
      </c>
      <c r="D175" s="1">
        <f>IF(C175="East",1,0)</f>
        <v>1</v>
      </c>
      <c r="E175" s="1">
        <f>IF(C175="West",1,0)</f>
        <v>0</v>
      </c>
      <c r="F175" s="1">
        <f>IF(C175="North",1,0)</f>
        <v>0</v>
      </c>
      <c r="G175" s="1" t="s">
        <v>28</v>
      </c>
      <c r="H175" s="1">
        <f>IF(G175="Residential",1,0)</f>
        <v>0</v>
      </c>
      <c r="I175" s="1">
        <f>IF(G175="High Street",1,0)</f>
        <v>0</v>
      </c>
      <c r="J175" s="1">
        <f>IF(G175="Mall",1,0)</f>
        <v>1</v>
      </c>
      <c r="K175" s="1">
        <v>46123.88</v>
      </c>
      <c r="L175" s="1">
        <v>3227</v>
      </c>
      <c r="M175" s="1">
        <v>0.14299999999999999</v>
      </c>
      <c r="N175" s="1">
        <v>10</v>
      </c>
      <c r="O175" s="1">
        <v>75.400000000000006</v>
      </c>
      <c r="P175" s="1">
        <v>1.06</v>
      </c>
      <c r="Q175" s="1">
        <v>0</v>
      </c>
      <c r="R175" s="1">
        <v>4.4000000000000004</v>
      </c>
      <c r="S175" s="1">
        <v>532644.46</v>
      </c>
      <c r="T175" s="1">
        <v>60681.32</v>
      </c>
      <c r="U175">
        <f>146249.7963 + (33.6835738*L175) + (1.176703422*K175) + (3062.934007*O175) + (-39654.57312*H175) + (-22957.90276*I175) + (-11306.62502*J175)</f>
        <v>528859.41549231729</v>
      </c>
      <c r="V175">
        <f>S175-U175</f>
        <v>3785.0445076826727</v>
      </c>
      <c r="W175" s="30">
        <f>V175/S175*100</f>
        <v>0.71061370049407313</v>
      </c>
    </row>
    <row r="176" spans="1:23">
      <c r="A176" s="1" t="s">
        <v>95</v>
      </c>
      <c r="B176" s="3">
        <v>45717</v>
      </c>
      <c r="C176" s="1" t="s">
        <v>27</v>
      </c>
      <c r="D176" s="1">
        <f>IF(C176="East",1,0)</f>
        <v>0</v>
      </c>
      <c r="E176" s="1">
        <f>IF(C176="West",1,0)</f>
        <v>1</v>
      </c>
      <c r="F176" s="1">
        <f>IF(C176="North",1,0)</f>
        <v>0</v>
      </c>
      <c r="G176" s="1" t="s">
        <v>18</v>
      </c>
      <c r="H176" s="1">
        <f>IF(G176="Residential",1,0)</f>
        <v>0</v>
      </c>
      <c r="I176" s="1">
        <f>IF(G176="High Street",1,0)</f>
        <v>1</v>
      </c>
      <c r="J176" s="1">
        <f>IF(G176="Mall",1,0)</f>
        <v>0</v>
      </c>
      <c r="K176" s="1">
        <v>59825.51</v>
      </c>
      <c r="L176" s="1">
        <v>1231</v>
      </c>
      <c r="M176" s="1">
        <v>0.214</v>
      </c>
      <c r="N176" s="1">
        <v>10</v>
      </c>
      <c r="O176" s="1">
        <v>84.8</v>
      </c>
      <c r="P176" s="1">
        <v>8.9600000000000009</v>
      </c>
      <c r="Q176" s="1">
        <v>0</v>
      </c>
      <c r="R176" s="1">
        <v>4.7</v>
      </c>
      <c r="S176" s="1">
        <v>498970.32</v>
      </c>
      <c r="T176" s="1">
        <v>69656.7</v>
      </c>
      <c r="U176">
        <f>146249.7963 + (33.6835738*L176) + (1.176703422*K176) + (3062.934007*O176) + (-39654.57312*H176) + (-22957.90276*I176) + (-11306.62502*J176)</f>
        <v>494890.05902129511</v>
      </c>
      <c r="V176">
        <f>S176-U176</f>
        <v>4080.2609787049005</v>
      </c>
      <c r="W176" s="30">
        <f>V176/S176*100</f>
        <v>0.81773620898030575</v>
      </c>
    </row>
    <row r="177" spans="1:23">
      <c r="A177" s="1" t="s">
        <v>30</v>
      </c>
      <c r="B177" s="3">
        <v>45717</v>
      </c>
      <c r="C177" s="1" t="s">
        <v>20</v>
      </c>
      <c r="D177" s="1">
        <f>IF(C177="East",1,0)</f>
        <v>0</v>
      </c>
      <c r="E177" s="1">
        <f>IF(C177="West",1,0)</f>
        <v>0</v>
      </c>
      <c r="F177" s="1">
        <f>IF(C177="North",1,0)</f>
        <v>1</v>
      </c>
      <c r="G177" s="1" t="s">
        <v>16</v>
      </c>
      <c r="H177" s="1">
        <f>IF(G177="Residential",1,0)</f>
        <v>1</v>
      </c>
      <c r="I177" s="1">
        <f>IF(G177="High Street",1,0)</f>
        <v>0</v>
      </c>
      <c r="J177" s="1">
        <f>IF(G177="Mall",1,0)</f>
        <v>0</v>
      </c>
      <c r="K177" s="1">
        <v>74413.88</v>
      </c>
      <c r="L177" s="1">
        <v>9449</v>
      </c>
      <c r="M177" s="1">
        <v>3.9E-2</v>
      </c>
      <c r="N177" s="1">
        <v>23</v>
      </c>
      <c r="O177" s="1">
        <v>92.1</v>
      </c>
      <c r="P177" s="1">
        <v>2.12</v>
      </c>
      <c r="Q177" s="1">
        <v>0</v>
      </c>
      <c r="R177" s="1">
        <v>3.5</v>
      </c>
      <c r="S177" s="1">
        <v>798952.17</v>
      </c>
      <c r="T177" s="1">
        <v>161499.04</v>
      </c>
      <c r="U177">
        <f>146249.7963 + (33.6835738*L177) + (1.176703422*K177) + (3062.934007*O177) + (-39654.57312*H177) + (-22957.90276*I177) + (-11306.62502*J177)</f>
        <v>794530.60130119731</v>
      </c>
      <c r="V177">
        <f>S177-U177</f>
        <v>4421.5686988027301</v>
      </c>
      <c r="W177" s="30">
        <f>V177/S177*100</f>
        <v>0.55342095119445378</v>
      </c>
    </row>
    <row r="178" spans="1:23">
      <c r="A178" s="1" t="s">
        <v>69</v>
      </c>
      <c r="B178" s="3">
        <v>45689</v>
      </c>
      <c r="C178" s="1" t="s">
        <v>15</v>
      </c>
      <c r="D178" s="1">
        <f>IF(C178="East",1,0)</f>
        <v>1</v>
      </c>
      <c r="E178" s="1">
        <f>IF(C178="West",1,0)</f>
        <v>0</v>
      </c>
      <c r="F178" s="1">
        <f>IF(C178="North",1,0)</f>
        <v>0</v>
      </c>
      <c r="G178" s="1" t="s">
        <v>18</v>
      </c>
      <c r="H178" s="1">
        <f>IF(G178="Residential",1,0)</f>
        <v>0</v>
      </c>
      <c r="I178" s="1">
        <f>IF(G178="High Street",1,0)</f>
        <v>1</v>
      </c>
      <c r="J178" s="1">
        <f>IF(G178="Mall",1,0)</f>
        <v>0</v>
      </c>
      <c r="K178" s="1">
        <v>55788.61</v>
      </c>
      <c r="L178" s="1">
        <v>2312</v>
      </c>
      <c r="M178" s="1">
        <v>5.8000000000000003E-2</v>
      </c>
      <c r="N178" s="1">
        <v>10</v>
      </c>
      <c r="O178" s="1">
        <v>91.3</v>
      </c>
      <c r="P178" s="1">
        <v>1.99</v>
      </c>
      <c r="Q178" s="1">
        <v>0</v>
      </c>
      <c r="R178" s="1">
        <v>3.8</v>
      </c>
      <c r="S178" s="1">
        <v>550962.93000000005</v>
      </c>
      <c r="T178" s="1">
        <v>97144.58</v>
      </c>
      <c r="U178">
        <f>146249.7963 + (33.6835738*L178) + (1.176703422*K178) + (3062.934007*O178) + (-39654.57312*H178) + (-22957.90276*I178) + (-11306.62502*J178)</f>
        <v>546460.83930032351</v>
      </c>
      <c r="V178">
        <f>S178-U178</f>
        <v>4502.0906996765407</v>
      </c>
      <c r="W178" s="30">
        <f>V178/S178*100</f>
        <v>0.81713132672583622</v>
      </c>
    </row>
    <row r="179" spans="1:23">
      <c r="A179" s="1" t="s">
        <v>74</v>
      </c>
      <c r="B179" s="3">
        <v>45658</v>
      </c>
      <c r="C179" s="1" t="s">
        <v>15</v>
      </c>
      <c r="D179" s="1">
        <f>IF(C179="East",1,0)</f>
        <v>1</v>
      </c>
      <c r="E179" s="1">
        <f>IF(C179="West",1,0)</f>
        <v>0</v>
      </c>
      <c r="F179" s="1">
        <f>IF(C179="North",1,0)</f>
        <v>0</v>
      </c>
      <c r="G179" s="1" t="s">
        <v>18</v>
      </c>
      <c r="H179" s="1">
        <f>IF(G179="Residential",1,0)</f>
        <v>0</v>
      </c>
      <c r="I179" s="1">
        <f>IF(G179="High Street",1,0)</f>
        <v>1</v>
      </c>
      <c r="J179" s="1">
        <f>IF(G179="Mall",1,0)</f>
        <v>0</v>
      </c>
      <c r="K179" s="1">
        <v>63457.19</v>
      </c>
      <c r="L179" s="1">
        <v>10125</v>
      </c>
      <c r="M179" s="1">
        <v>9.7000000000000003E-2</v>
      </c>
      <c r="N179" s="1">
        <v>24</v>
      </c>
      <c r="O179" s="1">
        <v>87</v>
      </c>
      <c r="P179" s="1">
        <v>3.84</v>
      </c>
      <c r="Q179" s="1">
        <v>1</v>
      </c>
      <c r="R179" s="1">
        <v>3.7</v>
      </c>
      <c r="S179" s="1">
        <v>810446.53</v>
      </c>
      <c r="T179" s="1">
        <v>200575.34</v>
      </c>
      <c r="U179">
        <f>146249.7963 + (33.6835738*L179) + (1.176703422*K179) + (3062.934007*O179) + (-39654.57312*H179) + (-22957.90276*I179) + (-11306.62502*J179)</f>
        <v>805483.62949750421</v>
      </c>
      <c r="V179">
        <f>S179-U179</f>
        <v>4962.9005024958169</v>
      </c>
      <c r="W179" s="30">
        <f>V179/S179*100</f>
        <v>0.61236618565025092</v>
      </c>
    </row>
    <row r="180" spans="1:23">
      <c r="A180" s="1" t="s">
        <v>34</v>
      </c>
      <c r="B180" s="3">
        <v>45689</v>
      </c>
      <c r="C180" s="1" t="s">
        <v>20</v>
      </c>
      <c r="D180" s="1">
        <f>IF(C180="East",1,0)</f>
        <v>0</v>
      </c>
      <c r="E180" s="1">
        <f>IF(C180="West",1,0)</f>
        <v>0</v>
      </c>
      <c r="F180" s="1">
        <f>IF(C180="North",1,0)</f>
        <v>1</v>
      </c>
      <c r="G180" s="1" t="s">
        <v>28</v>
      </c>
      <c r="H180" s="1">
        <f>IF(G180="Residential",1,0)</f>
        <v>0</v>
      </c>
      <c r="I180" s="1">
        <f>IF(G180="High Street",1,0)</f>
        <v>0</v>
      </c>
      <c r="J180" s="1">
        <f>IF(G180="Mall",1,0)</f>
        <v>1</v>
      </c>
      <c r="K180" s="1">
        <v>49710.29</v>
      </c>
      <c r="L180" s="1">
        <v>5559</v>
      </c>
      <c r="M180" s="1">
        <v>0.218</v>
      </c>
      <c r="N180" s="1">
        <v>14</v>
      </c>
      <c r="O180" s="1">
        <v>71</v>
      </c>
      <c r="P180" s="1">
        <v>9.11</v>
      </c>
      <c r="Q180" s="1">
        <v>0</v>
      </c>
      <c r="R180" s="1">
        <v>4.5999999999999996</v>
      </c>
      <c r="S180" s="1">
        <v>603297.56999999995</v>
      </c>
      <c r="T180" s="1">
        <v>60592.26</v>
      </c>
      <c r="U180">
        <f>146249.7963 + (33.6835738*L180) + (1.176703422*K180) + (3062.934007*O180) + (-39654.57312*H180) + (-22957.90276*I180) + (-11306.62502*J180)</f>
        <v>598152.7408828123</v>
      </c>
      <c r="V180">
        <f>S180-U180</f>
        <v>5144.8291171876481</v>
      </c>
      <c r="W180" s="30">
        <f>V180/S180*100</f>
        <v>0.85278465769183331</v>
      </c>
    </row>
    <row r="181" spans="1:23">
      <c r="A181" s="1" t="s">
        <v>60</v>
      </c>
      <c r="B181" s="3">
        <v>45689</v>
      </c>
      <c r="C181" s="1" t="s">
        <v>15</v>
      </c>
      <c r="D181" s="1">
        <f>IF(C181="East",1,0)</f>
        <v>1</v>
      </c>
      <c r="E181" s="1">
        <f>IF(C181="West",1,0)</f>
        <v>0</v>
      </c>
      <c r="F181" s="1">
        <f>IF(C181="North",1,0)</f>
        <v>0</v>
      </c>
      <c r="G181" s="1" t="s">
        <v>18</v>
      </c>
      <c r="H181" s="1">
        <f>IF(G181="Residential",1,0)</f>
        <v>0</v>
      </c>
      <c r="I181" s="1">
        <f>IF(G181="High Street",1,0)</f>
        <v>1</v>
      </c>
      <c r="J181" s="1">
        <f>IF(G181="Mall",1,0)</f>
        <v>0</v>
      </c>
      <c r="K181" s="1">
        <v>64374.75</v>
      </c>
      <c r="L181" s="1">
        <v>6740</v>
      </c>
      <c r="M181" s="1">
        <v>0.16900000000000001</v>
      </c>
      <c r="N181" s="1">
        <v>18</v>
      </c>
      <c r="O181" s="1">
        <v>87</v>
      </c>
      <c r="P181" s="1">
        <v>2.09</v>
      </c>
      <c r="Q181" s="1">
        <v>0</v>
      </c>
      <c r="R181" s="1">
        <v>4.2</v>
      </c>
      <c r="S181" s="1">
        <v>698492.67</v>
      </c>
      <c r="T181" s="1">
        <v>117319.32</v>
      </c>
      <c r="U181">
        <f>146249.7963 + (33.6835738*L181) + (1.176703422*K181) + (3062.934007*O181) + (-39654.57312*H181) + (-22957.90276*I181) + (-11306.62502*J181)</f>
        <v>692544.42817639443</v>
      </c>
      <c r="V181">
        <f>S181-U181</f>
        <v>5948.241823605611</v>
      </c>
      <c r="W181" s="30">
        <f>V181/S181*100</f>
        <v>0.85158256902046103</v>
      </c>
    </row>
    <row r="182" spans="1:23">
      <c r="A182" s="1" t="s">
        <v>58</v>
      </c>
      <c r="B182" s="3">
        <v>45748</v>
      </c>
      <c r="C182" s="1" t="s">
        <v>20</v>
      </c>
      <c r="D182" s="1">
        <f>IF(C182="East",1,0)</f>
        <v>0</v>
      </c>
      <c r="E182" s="1">
        <f>IF(C182="West",1,0)</f>
        <v>0</v>
      </c>
      <c r="F182" s="1">
        <f>IF(C182="North",1,0)</f>
        <v>1</v>
      </c>
      <c r="G182" s="1" t="s">
        <v>16</v>
      </c>
      <c r="H182" s="1">
        <f>IF(G182="Residential",1,0)</f>
        <v>1</v>
      </c>
      <c r="I182" s="1">
        <f>IF(G182="High Street",1,0)</f>
        <v>0</v>
      </c>
      <c r="J182" s="1">
        <f>IF(G182="Mall",1,0)</f>
        <v>0</v>
      </c>
      <c r="K182" s="1">
        <v>60322.400000000001</v>
      </c>
      <c r="L182" s="1">
        <v>3350</v>
      </c>
      <c r="M182" s="1">
        <v>0.108</v>
      </c>
      <c r="N182" s="1">
        <v>12</v>
      </c>
      <c r="O182" s="1">
        <v>89.4</v>
      </c>
      <c r="P182" s="1">
        <v>4.92</v>
      </c>
      <c r="Q182" s="1">
        <v>0</v>
      </c>
      <c r="R182" s="1">
        <v>3.4</v>
      </c>
      <c r="S182" s="1">
        <v>570964.84</v>
      </c>
      <c r="T182" s="1">
        <v>81331.070000000007</v>
      </c>
      <c r="U182">
        <f>146249.7963 + (33.6835738*L182) + (1.176703422*K182) + (3062.934007*O182) + (-39654.57312*H182) + (-22957.90276*I182) + (-11306.62502*J182)</f>
        <v>564243.07013905293</v>
      </c>
      <c r="V182">
        <f>S182-U182</f>
        <v>6721.769860947039</v>
      </c>
      <c r="W182" s="30">
        <f>V182/S182*100</f>
        <v>1.1772651116217663</v>
      </c>
    </row>
    <row r="183" spans="1:23">
      <c r="A183" s="1" t="s">
        <v>68</v>
      </c>
      <c r="B183" s="3">
        <v>45748</v>
      </c>
      <c r="C183" s="1" t="s">
        <v>20</v>
      </c>
      <c r="D183" s="1">
        <f>IF(C183="East",1,0)</f>
        <v>0</v>
      </c>
      <c r="E183" s="1">
        <f>IF(C183="West",1,0)</f>
        <v>0</v>
      </c>
      <c r="F183" s="1">
        <f>IF(C183="North",1,0)</f>
        <v>1</v>
      </c>
      <c r="G183" s="1" t="s">
        <v>18</v>
      </c>
      <c r="H183" s="1">
        <f>IF(G183="Residential",1,0)</f>
        <v>0</v>
      </c>
      <c r="I183" s="1">
        <f>IF(G183="High Street",1,0)</f>
        <v>1</v>
      </c>
      <c r="J183" s="1">
        <f>IF(G183="Mall",1,0)</f>
        <v>0</v>
      </c>
      <c r="K183" s="1">
        <v>72784.800000000003</v>
      </c>
      <c r="L183" s="1">
        <v>7932</v>
      </c>
      <c r="M183" s="1">
        <v>9.4E-2</v>
      </c>
      <c r="N183" s="1">
        <v>20</v>
      </c>
      <c r="O183" s="1">
        <v>74.900000000000006</v>
      </c>
      <c r="P183" s="1">
        <v>13.62</v>
      </c>
      <c r="Q183" s="1">
        <v>0</v>
      </c>
      <c r="R183" s="1">
        <v>4.2</v>
      </c>
      <c r="S183" s="1">
        <v>712546.38</v>
      </c>
      <c r="T183" s="1">
        <v>101480.04</v>
      </c>
      <c r="U183">
        <f>146249.7963 + (33.6835738*L183) + (1.176703422*K183) + (3062.934007*O183) + (-39654.57312*H183) + (-22957.90276*I183) + (-11306.62502*J183)</f>
        <v>705529.88127548562</v>
      </c>
      <c r="V183">
        <f>S183-U183</f>
        <v>7016.4987245143857</v>
      </c>
      <c r="W183" s="30">
        <f>V183/S183*100</f>
        <v>0.98470765152359419</v>
      </c>
    </row>
    <row r="184" spans="1:23">
      <c r="A184" s="1" t="s">
        <v>67</v>
      </c>
      <c r="B184" s="3">
        <v>45748</v>
      </c>
      <c r="C184" s="1" t="s">
        <v>27</v>
      </c>
      <c r="D184" s="1">
        <f>IF(C184="East",1,0)</f>
        <v>0</v>
      </c>
      <c r="E184" s="1">
        <f>IF(C184="West",1,0)</f>
        <v>1</v>
      </c>
      <c r="F184" s="1">
        <f>IF(C184="North",1,0)</f>
        <v>0</v>
      </c>
      <c r="G184" s="1" t="s">
        <v>16</v>
      </c>
      <c r="H184" s="1">
        <f>IF(G184="Residential",1,0)</f>
        <v>1</v>
      </c>
      <c r="I184" s="1">
        <f>IF(G184="High Street",1,0)</f>
        <v>0</v>
      </c>
      <c r="J184" s="1">
        <f>IF(G184="Mall",1,0)</f>
        <v>0</v>
      </c>
      <c r="K184" s="1">
        <v>57948.88</v>
      </c>
      <c r="L184" s="1">
        <v>10741</v>
      </c>
      <c r="M184" s="1">
        <v>7.0000000000000007E-2</v>
      </c>
      <c r="N184" s="1">
        <v>25</v>
      </c>
      <c r="O184" s="1">
        <v>90.1</v>
      </c>
      <c r="P184" s="1">
        <v>4.03</v>
      </c>
      <c r="Q184" s="1">
        <v>0</v>
      </c>
      <c r="R184" s="1">
        <v>3.1</v>
      </c>
      <c r="S184" s="1">
        <v>819660.59</v>
      </c>
      <c r="T184" s="1">
        <v>172699.95</v>
      </c>
      <c r="U184">
        <f>146249.7963 + (33.6835738*L184) + (1.176703422*K184) + (3062.934007*O184) + (-39654.57312*H184) + (-22957.90276*I184) + (-11306.62502*J184)</f>
        <v>812549.48879356741</v>
      </c>
      <c r="V184">
        <f>S184-U184</f>
        <v>7111.1012064325623</v>
      </c>
      <c r="W184" s="30">
        <f>V184/S184*100</f>
        <v>0.8675665626954886</v>
      </c>
    </row>
    <row r="185" spans="1:23">
      <c r="A185" s="1" t="s">
        <v>38</v>
      </c>
      <c r="B185" s="3">
        <v>45748</v>
      </c>
      <c r="C185" s="1" t="s">
        <v>27</v>
      </c>
      <c r="D185" s="1">
        <f>IF(C185="East",1,0)</f>
        <v>0</v>
      </c>
      <c r="E185" s="1">
        <f>IF(C185="West",1,0)</f>
        <v>1</v>
      </c>
      <c r="F185" s="1">
        <f>IF(C185="North",1,0)</f>
        <v>0</v>
      </c>
      <c r="G185" s="1" t="s">
        <v>18</v>
      </c>
      <c r="H185" s="1">
        <f>IF(G185="Residential",1,0)</f>
        <v>0</v>
      </c>
      <c r="I185" s="1">
        <f>IF(G185="High Street",1,0)</f>
        <v>1</v>
      </c>
      <c r="J185" s="1">
        <f>IF(G185="Mall",1,0)</f>
        <v>0</v>
      </c>
      <c r="K185" s="1">
        <v>42018.400000000001</v>
      </c>
      <c r="L185" s="1">
        <v>8296</v>
      </c>
      <c r="M185" s="1">
        <v>0.115</v>
      </c>
      <c r="N185" s="1">
        <v>17</v>
      </c>
      <c r="O185" s="1">
        <v>91.8</v>
      </c>
      <c r="P185" s="1">
        <v>0.77</v>
      </c>
      <c r="Q185" s="1">
        <v>0</v>
      </c>
      <c r="R185" s="1">
        <v>3.4</v>
      </c>
      <c r="S185" s="1">
        <v>740496.65</v>
      </c>
      <c r="T185" s="1">
        <v>128020.9</v>
      </c>
      <c r="U185">
        <f>146249.7963 + (33.6835738*L185) + (1.176703422*K185) + (3062.934007*O185) + (-39654.57312*H185) + (-22957.90276*I185) + (-11306.62502*J185)</f>
        <v>733351.35869436478</v>
      </c>
      <c r="V185">
        <f>S185-U185</f>
        <v>7145.2913056352409</v>
      </c>
      <c r="W185" s="30">
        <f>V185/S185*100</f>
        <v>0.96493229316233098</v>
      </c>
    </row>
    <row r="186" spans="1:23">
      <c r="A186" s="1" t="s">
        <v>93</v>
      </c>
      <c r="B186" s="3">
        <v>45658</v>
      </c>
      <c r="C186" s="1" t="s">
        <v>27</v>
      </c>
      <c r="D186" s="1">
        <f>IF(C186="East",1,0)</f>
        <v>0</v>
      </c>
      <c r="E186" s="1">
        <f>IF(C186="West",1,0)</f>
        <v>1</v>
      </c>
      <c r="F186" s="1">
        <f>IF(C186="North",1,0)</f>
        <v>0</v>
      </c>
      <c r="G186" s="1" t="s">
        <v>16</v>
      </c>
      <c r="H186" s="1">
        <f>IF(G186="Residential",1,0)</f>
        <v>1</v>
      </c>
      <c r="I186" s="1">
        <f>IF(G186="High Street",1,0)</f>
        <v>0</v>
      </c>
      <c r="J186" s="1">
        <f>IF(G186="Mall",1,0)</f>
        <v>0</v>
      </c>
      <c r="K186" s="1">
        <v>60183.06</v>
      </c>
      <c r="L186" s="1">
        <v>5562</v>
      </c>
      <c r="M186" s="1">
        <v>8.9999999999999993E-3</v>
      </c>
      <c r="N186" s="1">
        <v>13</v>
      </c>
      <c r="O186" s="1">
        <v>86.3</v>
      </c>
      <c r="P186" s="1">
        <v>0.2</v>
      </c>
      <c r="Q186" s="1">
        <v>1</v>
      </c>
      <c r="R186" s="1">
        <v>4.5</v>
      </c>
      <c r="S186" s="1">
        <v>636775.66</v>
      </c>
      <c r="T186" s="1">
        <v>122636.86</v>
      </c>
      <c r="U186">
        <f>146249.7963 + (33.6835738*L186) + (1.176703422*K186) + (3062.934007*O186) + (-39654.57312*H186) + (-22957.90276*I186) + (-11306.62502*J186)</f>
        <v>629092.0781081313</v>
      </c>
      <c r="V186">
        <f>S186-U186</f>
        <v>7683.5818918687291</v>
      </c>
      <c r="W186" s="30">
        <f>V186/S186*100</f>
        <v>1.2066387543563974</v>
      </c>
    </row>
    <row r="187" spans="1:23">
      <c r="A187" s="1" t="s">
        <v>51</v>
      </c>
      <c r="B187" s="3">
        <v>45748</v>
      </c>
      <c r="C187" s="1" t="s">
        <v>27</v>
      </c>
      <c r="D187" s="1">
        <f>IF(C187="East",1,0)</f>
        <v>0</v>
      </c>
      <c r="E187" s="1">
        <f>IF(C187="West",1,0)</f>
        <v>1</v>
      </c>
      <c r="F187" s="1">
        <f>IF(C187="North",1,0)</f>
        <v>0</v>
      </c>
      <c r="G187" s="1" t="s">
        <v>16</v>
      </c>
      <c r="H187" s="1">
        <f>IF(G187="Residential",1,0)</f>
        <v>1</v>
      </c>
      <c r="I187" s="1">
        <f>IF(G187="High Street",1,0)</f>
        <v>0</v>
      </c>
      <c r="J187" s="1">
        <f>IF(G187="Mall",1,0)</f>
        <v>0</v>
      </c>
      <c r="K187" s="1">
        <v>54968.98</v>
      </c>
      <c r="L187" s="1">
        <v>7816</v>
      </c>
      <c r="M187" s="1">
        <v>0.23200000000000001</v>
      </c>
      <c r="N187" s="1">
        <v>19</v>
      </c>
      <c r="O187" s="1">
        <v>95.7</v>
      </c>
      <c r="P187" s="1">
        <v>7.85</v>
      </c>
      <c r="Q187" s="1">
        <v>0</v>
      </c>
      <c r="R187" s="1">
        <v>4.7</v>
      </c>
      <c r="S187" s="1">
        <v>735480.19</v>
      </c>
      <c r="T187" s="1">
        <v>88342.11</v>
      </c>
      <c r="U187">
        <f>146249.7963 + (33.6835738*L187) + (1.176703422*K187) + (3062.934007*O187) + (-39654.57312*H187) + (-22957.90276*I187) + (-11306.62502*J187)</f>
        <v>727671.00734054961</v>
      </c>
      <c r="V187">
        <f>S187-U187</f>
        <v>7809.1826594503364</v>
      </c>
      <c r="W187" s="30">
        <f>V187/S187*100</f>
        <v>1.0617801492995123</v>
      </c>
    </row>
    <row r="188" spans="1:23">
      <c r="A188" s="1" t="s">
        <v>29</v>
      </c>
      <c r="B188" s="3">
        <v>45689</v>
      </c>
      <c r="C188" s="1" t="s">
        <v>15</v>
      </c>
      <c r="D188" s="1">
        <f>IF(C188="East",1,0)</f>
        <v>1</v>
      </c>
      <c r="E188" s="1">
        <f>IF(C188="West",1,0)</f>
        <v>0</v>
      </c>
      <c r="F188" s="1">
        <f>IF(C188="North",1,0)</f>
        <v>0</v>
      </c>
      <c r="G188" s="1" t="s">
        <v>16</v>
      </c>
      <c r="H188" s="1">
        <f>IF(G188="Residential",1,0)</f>
        <v>1</v>
      </c>
      <c r="I188" s="1">
        <f>IF(G188="High Street",1,0)</f>
        <v>0</v>
      </c>
      <c r="J188" s="1">
        <f>IF(G188="Mall",1,0)</f>
        <v>0</v>
      </c>
      <c r="K188" s="1">
        <v>63176.73</v>
      </c>
      <c r="L188" s="1">
        <v>2390</v>
      </c>
      <c r="M188" s="1">
        <v>0.216</v>
      </c>
      <c r="N188" s="1">
        <v>9</v>
      </c>
      <c r="O188" s="1">
        <v>87.5</v>
      </c>
      <c r="P188" s="1">
        <v>0.31</v>
      </c>
      <c r="Q188" s="1">
        <v>0</v>
      </c>
      <c r="R188" s="1">
        <v>3.1</v>
      </c>
      <c r="S188" s="1">
        <v>537383.79</v>
      </c>
      <c r="T188" s="1">
        <v>63773.27</v>
      </c>
      <c r="U188">
        <f>146249.7963 + (33.6835738*L188) + (1.176703422*K188) + (3062.934007*O188) + (-39654.57312*H188) + (-22957.90276*I188) + (-11306.62502*J188)</f>
        <v>529445.96455627005</v>
      </c>
      <c r="V188">
        <f>S188-U188</f>
        <v>7937.8254437299911</v>
      </c>
      <c r="W188" s="30">
        <f>V188/S188*100</f>
        <v>1.4771240948168516</v>
      </c>
    </row>
    <row r="189" spans="1:23">
      <c r="A189" s="1" t="s">
        <v>90</v>
      </c>
      <c r="B189" s="3">
        <v>45658</v>
      </c>
      <c r="C189" s="1" t="s">
        <v>27</v>
      </c>
      <c r="D189" s="1">
        <f>IF(C189="East",1,0)</f>
        <v>0</v>
      </c>
      <c r="E189" s="1">
        <f>IF(C189="West",1,0)</f>
        <v>1</v>
      </c>
      <c r="F189" s="1">
        <f>IF(C189="North",1,0)</f>
        <v>0</v>
      </c>
      <c r="G189" s="1" t="s">
        <v>18</v>
      </c>
      <c r="H189" s="1">
        <f>IF(G189="Residential",1,0)</f>
        <v>0</v>
      </c>
      <c r="I189" s="1">
        <f>IF(G189="High Street",1,0)</f>
        <v>1</v>
      </c>
      <c r="J189" s="1">
        <f>IF(G189="Mall",1,0)</f>
        <v>0</v>
      </c>
      <c r="K189" s="1">
        <v>50532.17</v>
      </c>
      <c r="L189" s="1">
        <v>5689</v>
      </c>
      <c r="M189" s="1">
        <v>5.1999999999999998E-2</v>
      </c>
      <c r="N189" s="1">
        <v>17</v>
      </c>
      <c r="O189" s="1">
        <v>85.6</v>
      </c>
      <c r="P189" s="1">
        <v>6.23</v>
      </c>
      <c r="Q189" s="1">
        <v>0</v>
      </c>
      <c r="R189" s="1">
        <v>3.3</v>
      </c>
      <c r="S189" s="1">
        <v>645039.97</v>
      </c>
      <c r="T189" s="1">
        <v>83093.33</v>
      </c>
      <c r="U189">
        <f>146249.7963 + (33.6835738*L189) + (1.176703422*K189) + (3062.934007*O189) + (-39654.57312*H189) + (-22957.90276*I189) + (-11306.62502*J189)</f>
        <v>636566.27324748575</v>
      </c>
      <c r="V189">
        <f>S189-U189</f>
        <v>8473.6967525142245</v>
      </c>
      <c r="W189" s="30">
        <f>V189/S189*100</f>
        <v>1.3136700276905671</v>
      </c>
    </row>
    <row r="190" spans="1:23">
      <c r="A190" s="1" t="s">
        <v>83</v>
      </c>
      <c r="B190" s="3">
        <v>45658</v>
      </c>
      <c r="C190" s="1" t="s">
        <v>15</v>
      </c>
      <c r="D190" s="1">
        <f>IF(C190="East",1,0)</f>
        <v>1</v>
      </c>
      <c r="E190" s="1">
        <f>IF(C190="West",1,0)</f>
        <v>0</v>
      </c>
      <c r="F190" s="1">
        <f>IF(C190="North",1,0)</f>
        <v>0</v>
      </c>
      <c r="G190" s="1" t="s">
        <v>18</v>
      </c>
      <c r="H190" s="1">
        <f>IF(G190="Residential",1,0)</f>
        <v>0</v>
      </c>
      <c r="I190" s="1">
        <f>IF(G190="High Street",1,0)</f>
        <v>1</v>
      </c>
      <c r="J190" s="1">
        <f>IF(G190="Mall",1,0)</f>
        <v>0</v>
      </c>
      <c r="K190" s="1">
        <v>76942.2</v>
      </c>
      <c r="L190" s="1">
        <v>8934</v>
      </c>
      <c r="M190" s="1">
        <v>8.4000000000000005E-2</v>
      </c>
      <c r="N190" s="1">
        <v>20</v>
      </c>
      <c r="O190" s="1">
        <v>91</v>
      </c>
      <c r="P190" s="1">
        <v>0.95</v>
      </c>
      <c r="Q190" s="1">
        <v>0</v>
      </c>
      <c r="R190" s="1">
        <v>3.2</v>
      </c>
      <c r="S190" s="1">
        <v>802001.68</v>
      </c>
      <c r="T190" s="1">
        <v>159715.82</v>
      </c>
      <c r="U190">
        <f>146249.7963 + (33.6835738*L190) + (1.176703422*K190) + (3062.934007*O190) + (-39654.57312*H190) + (-22957.90276*I190) + (-11306.62502*J190)</f>
        <v>793486.08654240845</v>
      </c>
      <c r="V190">
        <f>S190-U190</f>
        <v>8515.5934575916035</v>
      </c>
      <c r="W190" s="30">
        <f>V190/S190*100</f>
        <v>1.0617924712566194</v>
      </c>
    </row>
    <row r="191" spans="1:23">
      <c r="A191" s="1" t="s">
        <v>87</v>
      </c>
      <c r="B191" s="3">
        <v>45658</v>
      </c>
      <c r="C191" s="1" t="s">
        <v>27</v>
      </c>
      <c r="D191" s="1">
        <f>IF(C191="East",1,0)</f>
        <v>0</v>
      </c>
      <c r="E191" s="1">
        <f>IF(C191="West",1,0)</f>
        <v>1</v>
      </c>
      <c r="F191" s="1">
        <f>IF(C191="North",1,0)</f>
        <v>0</v>
      </c>
      <c r="G191" s="1" t="s">
        <v>18</v>
      </c>
      <c r="H191" s="1">
        <f>IF(G191="Residential",1,0)</f>
        <v>0</v>
      </c>
      <c r="I191" s="1">
        <f>IF(G191="High Street",1,0)</f>
        <v>1</v>
      </c>
      <c r="J191" s="1">
        <f>IF(G191="Mall",1,0)</f>
        <v>0</v>
      </c>
      <c r="K191" s="1">
        <v>14519.37</v>
      </c>
      <c r="L191" s="1">
        <v>3047</v>
      </c>
      <c r="M191" s="1">
        <v>0.13500000000000001</v>
      </c>
      <c r="N191" s="1">
        <v>10</v>
      </c>
      <c r="O191" s="1">
        <v>90.3</v>
      </c>
      <c r="P191" s="1">
        <v>6.62</v>
      </c>
      <c r="Q191" s="1">
        <v>0</v>
      </c>
      <c r="R191" s="1">
        <v>4.2</v>
      </c>
      <c r="S191" s="1">
        <v>528852.62</v>
      </c>
      <c r="T191" s="1">
        <v>68426.210000000006</v>
      </c>
      <c r="U191">
        <f>146249.7963 + (33.6835738*L191) + (1.176703422*K191) + (3062.934007*O191) + (-39654.57312*H191) + (-22957.90276*I191) + (-11306.62502*J191)</f>
        <v>519593.67610498407</v>
      </c>
      <c r="V191">
        <f>S191-U191</f>
        <v>9258.9438950159238</v>
      </c>
      <c r="W191" s="30">
        <f>V191/S191*100</f>
        <v>1.7507607119382189</v>
      </c>
    </row>
    <row r="192" spans="1:23">
      <c r="A192" s="1" t="s">
        <v>75</v>
      </c>
      <c r="B192" s="3">
        <v>45717</v>
      </c>
      <c r="C192" s="1" t="s">
        <v>27</v>
      </c>
      <c r="D192" s="1">
        <f>IF(C192="East",1,0)</f>
        <v>0</v>
      </c>
      <c r="E192" s="1">
        <f>IF(C192="West",1,0)</f>
        <v>1</v>
      </c>
      <c r="F192" s="1">
        <f>IF(C192="North",1,0)</f>
        <v>0</v>
      </c>
      <c r="G192" s="1" t="s">
        <v>16</v>
      </c>
      <c r="H192" s="1">
        <f>IF(G192="Residential",1,0)</f>
        <v>1</v>
      </c>
      <c r="I192" s="1">
        <f>IF(G192="High Street",1,0)</f>
        <v>0</v>
      </c>
      <c r="J192" s="1">
        <f>IF(G192="Mall",1,0)</f>
        <v>0</v>
      </c>
      <c r="K192" s="1">
        <v>35296.54</v>
      </c>
      <c r="L192" s="1">
        <v>9644</v>
      </c>
      <c r="M192" s="1">
        <v>0</v>
      </c>
      <c r="N192" s="1">
        <v>22</v>
      </c>
      <c r="O192" s="1">
        <v>88</v>
      </c>
      <c r="P192" s="1">
        <v>2.81</v>
      </c>
      <c r="Q192" s="1">
        <v>0</v>
      </c>
      <c r="R192" s="1">
        <v>4.7</v>
      </c>
      <c r="S192" s="1">
        <v>752321.72</v>
      </c>
      <c r="T192" s="1">
        <v>137788.51</v>
      </c>
      <c r="U192">
        <f>146249.7963 + (33.6835738*L192) + (1.176703422*K192) + (3062.934007*O192) + (-39654.57312*H192) + (-22957.90276*I192) + (-11306.62502*J192)</f>
        <v>742511.36092595977</v>
      </c>
      <c r="V192">
        <f>S192-U192</f>
        <v>9810.3590740401996</v>
      </c>
      <c r="W192" s="30">
        <f>V192/S192*100</f>
        <v>1.3040111448650187</v>
      </c>
    </row>
    <row r="193" spans="1:23">
      <c r="A193" s="1" t="s">
        <v>17</v>
      </c>
      <c r="B193" s="3">
        <v>45717</v>
      </c>
      <c r="C193" s="1" t="s">
        <v>15</v>
      </c>
      <c r="D193" s="1">
        <f>IF(C193="East",1,0)</f>
        <v>1</v>
      </c>
      <c r="E193" s="1">
        <f>IF(C193="West",1,0)</f>
        <v>0</v>
      </c>
      <c r="F193" s="1">
        <f>IF(C193="North",1,0)</f>
        <v>0</v>
      </c>
      <c r="G193" s="1" t="s">
        <v>18</v>
      </c>
      <c r="H193" s="1">
        <f>IF(G193="Residential",1,0)</f>
        <v>0</v>
      </c>
      <c r="I193" s="1">
        <f>IF(G193="High Street",1,0)</f>
        <v>1</v>
      </c>
      <c r="J193" s="1">
        <f>IF(G193="Mall",1,0)</f>
        <v>0</v>
      </c>
      <c r="K193" s="1">
        <v>46213.45</v>
      </c>
      <c r="L193" s="1">
        <v>10616</v>
      </c>
      <c r="M193" s="1">
        <v>0.122</v>
      </c>
      <c r="N193" s="1">
        <v>22</v>
      </c>
      <c r="O193" s="1">
        <v>85.2</v>
      </c>
      <c r="P193" s="1">
        <v>0.2</v>
      </c>
      <c r="Q193" s="1">
        <v>1</v>
      </c>
      <c r="R193" s="1">
        <v>4.0999999999999996</v>
      </c>
      <c r="S193" s="1">
        <v>806615.54</v>
      </c>
      <c r="T193" s="1">
        <v>131364.62</v>
      </c>
      <c r="U193">
        <f>146249.7963 + (33.6835738*L193) + (1.176703422*K193) + (3062.934007*O193) + (-39654.57312*H193) + (-22957.90276*I193) + (-11306.62502*J193)</f>
        <v>796218.21515462594</v>
      </c>
      <c r="V193">
        <f>S193-U193</f>
        <v>10397.324845374096</v>
      </c>
      <c r="W193" s="30">
        <f>V193/S193*100</f>
        <v>1.2890062650384959</v>
      </c>
    </row>
    <row r="194" spans="1:23">
      <c r="A194" s="1" t="s">
        <v>84</v>
      </c>
      <c r="B194" s="3">
        <v>45658</v>
      </c>
      <c r="C194" s="1" t="s">
        <v>20</v>
      </c>
      <c r="D194" s="1">
        <f>IF(C194="East",1,0)</f>
        <v>0</v>
      </c>
      <c r="E194" s="1">
        <f>IF(C194="West",1,0)</f>
        <v>0</v>
      </c>
      <c r="F194" s="1">
        <f>IF(C194="North",1,0)</f>
        <v>1</v>
      </c>
      <c r="G194" s="1" t="s">
        <v>18</v>
      </c>
      <c r="H194" s="1">
        <f>IF(G194="Residential",1,0)</f>
        <v>0</v>
      </c>
      <c r="I194" s="1">
        <f>IF(G194="High Street",1,0)</f>
        <v>1</v>
      </c>
      <c r="J194" s="1">
        <f>IF(G194="Mall",1,0)</f>
        <v>0</v>
      </c>
      <c r="K194" s="1">
        <v>40923.67</v>
      </c>
      <c r="L194" s="1">
        <v>3875</v>
      </c>
      <c r="M194" s="1">
        <v>0.15</v>
      </c>
      <c r="N194" s="1">
        <v>10</v>
      </c>
      <c r="O194" s="1">
        <v>96.1</v>
      </c>
      <c r="P194" s="1">
        <v>3.36</v>
      </c>
      <c r="Q194" s="1">
        <v>0</v>
      </c>
      <c r="R194" s="1">
        <v>3.8</v>
      </c>
      <c r="S194" s="1">
        <v>606783.67000000004</v>
      </c>
      <c r="T194" s="1">
        <v>74515.87</v>
      </c>
      <c r="U194">
        <f>146249.7963 + (33.6835738*L194) + (1.176703422*K194) + (3062.934007*O194) + (-39654.57312*H194) + (-22957.90276*I194) + (-11306.62502*J194)</f>
        <v>596318.72261749872</v>
      </c>
      <c r="V194">
        <f>S194-U194</f>
        <v>10464.947382501327</v>
      </c>
      <c r="W194" s="30">
        <f>V194/S194*100</f>
        <v>1.7246587045596211</v>
      </c>
    </row>
    <row r="195" spans="1:23">
      <c r="A195" s="1" t="s">
        <v>93</v>
      </c>
      <c r="B195" s="3">
        <v>45689</v>
      </c>
      <c r="C195" s="1" t="s">
        <v>27</v>
      </c>
      <c r="D195" s="1">
        <f>IF(C195="East",1,0)</f>
        <v>0</v>
      </c>
      <c r="E195" s="1">
        <f>IF(C195="West",1,0)</f>
        <v>1</v>
      </c>
      <c r="F195" s="1">
        <f>IF(C195="North",1,0)</f>
        <v>0</v>
      </c>
      <c r="G195" s="1" t="s">
        <v>16</v>
      </c>
      <c r="H195" s="1">
        <f>IF(G195="Residential",1,0)</f>
        <v>1</v>
      </c>
      <c r="I195" s="1">
        <f>IF(G195="High Street",1,0)</f>
        <v>0</v>
      </c>
      <c r="J195" s="1">
        <f>IF(G195="Mall",1,0)</f>
        <v>0</v>
      </c>
      <c r="K195" s="1">
        <v>74539.14</v>
      </c>
      <c r="L195" s="1">
        <v>4487</v>
      </c>
      <c r="M195" s="1">
        <v>0.14000000000000001</v>
      </c>
      <c r="N195" s="1">
        <v>10</v>
      </c>
      <c r="O195" s="1">
        <v>90.4</v>
      </c>
      <c r="P195" s="1">
        <v>0.59</v>
      </c>
      <c r="Q195" s="1">
        <v>0</v>
      </c>
      <c r="R195" s="1">
        <v>4.5</v>
      </c>
      <c r="S195" s="1">
        <v>633009.53</v>
      </c>
      <c r="T195" s="1">
        <v>123782.67</v>
      </c>
      <c r="U195">
        <f>146249.7963 + (33.6835738*L195) + (1.176703422*K195) + (3062.934007*O195) + (-39654.57312*H195) + (-22957.90276*I195) + (-11306.62502*J195)</f>
        <v>622333.11416433717</v>
      </c>
      <c r="V195">
        <f>S195-U195</f>
        <v>10676.415835662861</v>
      </c>
      <c r="W195" s="30">
        <f>V195/S195*100</f>
        <v>1.686612180335241</v>
      </c>
    </row>
    <row r="196" spans="1:23">
      <c r="A196" s="1" t="s">
        <v>66</v>
      </c>
      <c r="B196" s="3">
        <v>45658</v>
      </c>
      <c r="C196" s="1" t="s">
        <v>27</v>
      </c>
      <c r="D196" s="1">
        <f>IF(C196="East",1,0)</f>
        <v>0</v>
      </c>
      <c r="E196" s="1">
        <f>IF(C196="West",1,0)</f>
        <v>1</v>
      </c>
      <c r="F196" s="1">
        <f>IF(C196="North",1,0)</f>
        <v>0</v>
      </c>
      <c r="G196" s="1" t="s">
        <v>21</v>
      </c>
      <c r="H196" s="1">
        <f>IF(G196="Residential",1,0)</f>
        <v>0</v>
      </c>
      <c r="I196" s="1">
        <f>IF(G196="High Street",1,0)</f>
        <v>0</v>
      </c>
      <c r="J196" s="1">
        <f>IF(G196="Mall",1,0)</f>
        <v>0</v>
      </c>
      <c r="K196" s="1">
        <v>67494.09</v>
      </c>
      <c r="L196" s="1">
        <v>12361</v>
      </c>
      <c r="M196" s="1">
        <v>4.5999999999999999E-2</v>
      </c>
      <c r="N196" s="1">
        <v>24</v>
      </c>
      <c r="O196" s="1">
        <v>76.599999999999994</v>
      </c>
      <c r="P196" s="1">
        <v>3.65</v>
      </c>
      <c r="Q196" s="1">
        <v>1</v>
      </c>
      <c r="R196" s="1">
        <v>3.7</v>
      </c>
      <c r="S196" s="1">
        <v>887537.75</v>
      </c>
      <c r="T196" s="1">
        <v>160362.92000000001</v>
      </c>
      <c r="U196">
        <f>146249.7963 + (33.6835738*L196) + (1.176703422*K196) + (3062.934007*O196) + (-39654.57312*H196) + (-22957.90276*I196) + (-11306.62502*J196)</f>
        <v>876653.72364577581</v>
      </c>
      <c r="V196">
        <f>S196-U196</f>
        <v>10884.026354224188</v>
      </c>
      <c r="W196" s="30">
        <f>V196/S196*100</f>
        <v>1.2263170050202583</v>
      </c>
    </row>
    <row r="197" spans="1:23">
      <c r="A197" s="1" t="s">
        <v>76</v>
      </c>
      <c r="B197" s="3">
        <v>45658</v>
      </c>
      <c r="C197" s="1" t="s">
        <v>20</v>
      </c>
      <c r="D197" s="1">
        <f>IF(C197="East",1,0)</f>
        <v>0</v>
      </c>
      <c r="E197" s="1">
        <f>IF(C197="West",1,0)</f>
        <v>0</v>
      </c>
      <c r="F197" s="1">
        <f>IF(C197="North",1,0)</f>
        <v>1</v>
      </c>
      <c r="G197" s="1" t="s">
        <v>21</v>
      </c>
      <c r="H197" s="1">
        <f>IF(G197="Residential",1,0)</f>
        <v>0</v>
      </c>
      <c r="I197" s="1">
        <f>IF(G197="High Street",1,0)</f>
        <v>0</v>
      </c>
      <c r="J197" s="1">
        <f>IF(G197="Mall",1,0)</f>
        <v>0</v>
      </c>
      <c r="K197" s="1">
        <v>69180.539999999994</v>
      </c>
      <c r="L197" s="1">
        <v>5394</v>
      </c>
      <c r="M197" s="1">
        <v>0.126</v>
      </c>
      <c r="N197" s="1">
        <v>12</v>
      </c>
      <c r="O197" s="1">
        <v>82.9</v>
      </c>
      <c r="P197" s="1">
        <v>3.27</v>
      </c>
      <c r="Q197" s="1">
        <v>0</v>
      </c>
      <c r="R197" s="1">
        <v>3.3</v>
      </c>
      <c r="S197" s="1">
        <v>674289.1</v>
      </c>
      <c r="T197" s="1">
        <v>117773.79</v>
      </c>
      <c r="U197">
        <f>146249.7963 + (33.6835738*L197) + (1.176703422*K197) + (3062.934007*O197) + (-39654.57312*H197) + (-22957.90276*I197) + (-11306.62502*J197)</f>
        <v>663261.20071130781</v>
      </c>
      <c r="V197">
        <f>S197-U197</f>
        <v>11027.899288692162</v>
      </c>
      <c r="W197" s="30">
        <f>V197/S197*100</f>
        <v>1.6354853265004823</v>
      </c>
    </row>
    <row r="198" spans="1:23">
      <c r="A198" s="1" t="s">
        <v>78</v>
      </c>
      <c r="B198" s="3">
        <v>45748</v>
      </c>
      <c r="C198" s="1" t="s">
        <v>15</v>
      </c>
      <c r="D198" s="1">
        <f>IF(C198="East",1,0)</f>
        <v>1</v>
      </c>
      <c r="E198" s="1">
        <f>IF(C198="West",1,0)</f>
        <v>0</v>
      </c>
      <c r="F198" s="1">
        <f>IF(C198="North",1,0)</f>
        <v>0</v>
      </c>
      <c r="G198" s="1" t="s">
        <v>28</v>
      </c>
      <c r="H198" s="1">
        <f>IF(G198="Residential",1,0)</f>
        <v>0</v>
      </c>
      <c r="I198" s="1">
        <f>IF(G198="High Street",1,0)</f>
        <v>0</v>
      </c>
      <c r="J198" s="1">
        <f>IF(G198="Mall",1,0)</f>
        <v>1</v>
      </c>
      <c r="K198" s="1">
        <v>39341.449999999997</v>
      </c>
      <c r="L198" s="1">
        <v>1375</v>
      </c>
      <c r="M198" s="1">
        <v>9.2999999999999999E-2</v>
      </c>
      <c r="N198" s="1">
        <v>5</v>
      </c>
      <c r="O198" s="1">
        <v>95</v>
      </c>
      <c r="P198" s="1">
        <v>5.32</v>
      </c>
      <c r="Q198" s="1">
        <v>0</v>
      </c>
      <c r="R198" s="1">
        <v>3.92</v>
      </c>
      <c r="S198" s="1">
        <v>529598.93999999994</v>
      </c>
      <c r="T198" s="1">
        <v>84334.33</v>
      </c>
      <c r="U198">
        <f>146249.7963 + (33.6835738*L198) + (1.176703422*K198) + (3062.934007*O198) + (-39654.57312*H198) + (-22957.90276*I198) + (-11306.62502*J198)</f>
        <v>518530.03476144193</v>
      </c>
      <c r="V198">
        <f>S198-U198</f>
        <v>11068.905238558014</v>
      </c>
      <c r="W198" s="30">
        <f>V198/S198*100</f>
        <v>2.0900542660750068</v>
      </c>
    </row>
    <row r="199" spans="1:23">
      <c r="A199" s="1" t="s">
        <v>95</v>
      </c>
      <c r="B199" s="3">
        <v>45689</v>
      </c>
      <c r="C199" s="1" t="s">
        <v>27</v>
      </c>
      <c r="D199" s="1">
        <f>IF(C199="East",1,0)</f>
        <v>0</v>
      </c>
      <c r="E199" s="1">
        <f>IF(C199="West",1,0)</f>
        <v>1</v>
      </c>
      <c r="F199" s="1">
        <f>IF(C199="North",1,0)</f>
        <v>0</v>
      </c>
      <c r="G199" s="1" t="s">
        <v>18</v>
      </c>
      <c r="H199" s="1">
        <f>IF(G199="Residential",1,0)</f>
        <v>0</v>
      </c>
      <c r="I199" s="1">
        <f>IF(G199="High Street",1,0)</f>
        <v>1</v>
      </c>
      <c r="J199" s="1">
        <f>IF(G199="Mall",1,0)</f>
        <v>0</v>
      </c>
      <c r="K199" s="1">
        <v>40102.879999999997</v>
      </c>
      <c r="L199" s="1">
        <v>2358</v>
      </c>
      <c r="M199" s="1">
        <v>0.11899999999999999</v>
      </c>
      <c r="N199" s="1">
        <v>9</v>
      </c>
      <c r="O199" s="1">
        <v>88.7</v>
      </c>
      <c r="P199" s="1">
        <v>1.6</v>
      </c>
      <c r="Q199" s="1">
        <v>0</v>
      </c>
      <c r="R199" s="1">
        <v>4.2</v>
      </c>
      <c r="S199" s="1">
        <v>533121.26</v>
      </c>
      <c r="T199" s="1">
        <v>55063.39</v>
      </c>
      <c r="U199">
        <f>146249.7963 + (33.6835738*L199) + (1.176703422*K199) + (3062.934007*O199) + (-39654.57312*H199) + (-22957.90276*I199) + (-11306.62502*J199)</f>
        <v>521589.20310935535</v>
      </c>
      <c r="V199">
        <f>S199-U199</f>
        <v>11532.056890644657</v>
      </c>
      <c r="W199" s="30">
        <f>V199/S199*100</f>
        <v>2.1631208049449495</v>
      </c>
    </row>
    <row r="200" spans="1:23">
      <c r="A200" s="1" t="s">
        <v>70</v>
      </c>
      <c r="B200" s="3">
        <v>45717</v>
      </c>
      <c r="C200" s="1" t="s">
        <v>27</v>
      </c>
      <c r="D200" s="1">
        <f>IF(C200="East",1,0)</f>
        <v>0</v>
      </c>
      <c r="E200" s="1">
        <f>IF(C200="West",1,0)</f>
        <v>1</v>
      </c>
      <c r="F200" s="1">
        <f>IF(C200="North",1,0)</f>
        <v>0</v>
      </c>
      <c r="G200" s="1" t="s">
        <v>16</v>
      </c>
      <c r="H200" s="1">
        <f>IF(G200="Residential",1,0)</f>
        <v>1</v>
      </c>
      <c r="I200" s="1">
        <f>IF(G200="High Street",1,0)</f>
        <v>0</v>
      </c>
      <c r="J200" s="1">
        <f>IF(G200="Mall",1,0)</f>
        <v>0</v>
      </c>
      <c r="K200" s="1">
        <v>40220.18</v>
      </c>
      <c r="L200" s="1">
        <v>3783</v>
      </c>
      <c r="M200" s="1">
        <v>8.8999999999999996E-2</v>
      </c>
      <c r="N200" s="1">
        <v>14</v>
      </c>
      <c r="O200" s="1">
        <v>86.6</v>
      </c>
      <c r="P200" s="1">
        <v>3.63</v>
      </c>
      <c r="Q200" s="1">
        <v>0</v>
      </c>
      <c r="R200" s="1">
        <v>3.7</v>
      </c>
      <c r="S200" s="1">
        <v>559422.02</v>
      </c>
      <c r="T200" s="1">
        <v>73528.740000000005</v>
      </c>
      <c r="U200">
        <f>146249.7963 + (33.6835738*L200) + (1.176703422*K200) + (3062.934007*O200) + (-39654.57312*H200) + (-22957.90276*I200) + (-11306.62502*J200)</f>
        <v>546597.49131105596</v>
      </c>
      <c r="V200">
        <f>S200-U200</f>
        <v>12824.528688944061</v>
      </c>
      <c r="W200" s="30">
        <f>V200/S200*100</f>
        <v>2.2924604735694998</v>
      </c>
    </row>
    <row r="201" spans="1:23">
      <c r="A201" s="1" t="s">
        <v>65</v>
      </c>
      <c r="B201" s="3">
        <v>45658</v>
      </c>
      <c r="C201" s="1" t="s">
        <v>15</v>
      </c>
      <c r="D201" s="1">
        <f>IF(C201="East",1,0)</f>
        <v>1</v>
      </c>
      <c r="E201" s="1">
        <f>IF(C201="West",1,0)</f>
        <v>0</v>
      </c>
      <c r="F201" s="1">
        <f>IF(C201="North",1,0)</f>
        <v>0</v>
      </c>
      <c r="G201" s="1" t="s">
        <v>16</v>
      </c>
      <c r="H201" s="1">
        <f>IF(G201="Residential",1,0)</f>
        <v>1</v>
      </c>
      <c r="I201" s="1">
        <f>IF(G201="High Street",1,0)</f>
        <v>0</v>
      </c>
      <c r="J201" s="1">
        <f>IF(G201="Mall",1,0)</f>
        <v>0</v>
      </c>
      <c r="K201" s="1">
        <v>65237.79</v>
      </c>
      <c r="L201" s="1">
        <v>8741</v>
      </c>
      <c r="M201" s="1">
        <v>0.157</v>
      </c>
      <c r="N201" s="1">
        <v>20</v>
      </c>
      <c r="O201" s="1">
        <v>94.4</v>
      </c>
      <c r="P201" s="1">
        <v>6.43</v>
      </c>
      <c r="Q201" s="1">
        <v>0</v>
      </c>
      <c r="R201" s="1">
        <v>3.3</v>
      </c>
      <c r="S201" s="1">
        <v>780344.18</v>
      </c>
      <c r="T201" s="1">
        <v>118239.09</v>
      </c>
      <c r="U201">
        <f>146249.7963 + (33.6835738*L201) + (1.176703422*K201) + (3062.934007*O201) + (-39654.57312*H201) + (-22957.90276*I201) + (-11306.62502*J201)</f>
        <v>766929.8427633174</v>
      </c>
      <c r="V201">
        <f>S201-U201</f>
        <v>13414.337236682652</v>
      </c>
      <c r="W201" s="30">
        <f>V201/S201*100</f>
        <v>1.7190282929620426</v>
      </c>
    </row>
    <row r="202" spans="1:23">
      <c r="A202" s="1" t="s">
        <v>91</v>
      </c>
      <c r="B202" s="3">
        <v>45717</v>
      </c>
      <c r="C202" s="1" t="s">
        <v>24</v>
      </c>
      <c r="D202" s="1">
        <f>IF(C202="East",1,0)</f>
        <v>0</v>
      </c>
      <c r="E202" s="1">
        <f>IF(C202="West",1,0)</f>
        <v>0</v>
      </c>
      <c r="F202" s="1">
        <f>IF(C202="North",1,0)</f>
        <v>0</v>
      </c>
      <c r="G202" s="1" t="s">
        <v>16</v>
      </c>
      <c r="H202" s="1">
        <f>IF(G202="Residential",1,0)</f>
        <v>1</v>
      </c>
      <c r="I202" s="1">
        <f>IF(G202="High Street",1,0)</f>
        <v>0</v>
      </c>
      <c r="J202" s="1">
        <f>IF(G202="Mall",1,0)</f>
        <v>0</v>
      </c>
      <c r="K202" s="1">
        <v>48609.41</v>
      </c>
      <c r="L202" s="1">
        <v>9324</v>
      </c>
      <c r="M202" s="1">
        <v>0.21299999999999999</v>
      </c>
      <c r="N202" s="1">
        <v>18</v>
      </c>
      <c r="O202" s="1">
        <v>86.5</v>
      </c>
      <c r="P202" s="1">
        <v>1.44</v>
      </c>
      <c r="Q202" s="1">
        <v>0</v>
      </c>
      <c r="R202" s="1">
        <v>3.9</v>
      </c>
      <c r="S202" s="1">
        <v>756619.77</v>
      </c>
      <c r="T202" s="1">
        <v>112057.69</v>
      </c>
      <c r="U202">
        <f>146249.7963 + (33.6835738*L202) + (1.176703422*K202) + (3062.934007*O202) + (-39654.57312*H202) + (-22957.90276*I202) + (-11306.62502*J202)</f>
        <v>742803.515985101</v>
      </c>
      <c r="V202">
        <f>S202-U202</f>
        <v>13816.254014899023</v>
      </c>
      <c r="W202" s="30">
        <f>V202/S202*100</f>
        <v>1.8260498288194376</v>
      </c>
    </row>
    <row r="203" spans="1:23">
      <c r="A203" s="1" t="s">
        <v>67</v>
      </c>
      <c r="B203" s="3">
        <v>45689</v>
      </c>
      <c r="C203" s="1" t="s">
        <v>27</v>
      </c>
      <c r="D203" s="1">
        <f>IF(C203="East",1,0)</f>
        <v>0</v>
      </c>
      <c r="E203" s="1">
        <f>IF(C203="West",1,0)</f>
        <v>1</v>
      </c>
      <c r="F203" s="1">
        <f>IF(C203="North",1,0)</f>
        <v>0</v>
      </c>
      <c r="G203" s="1" t="s">
        <v>16</v>
      </c>
      <c r="H203" s="1">
        <f>IF(G203="Residential",1,0)</f>
        <v>1</v>
      </c>
      <c r="I203" s="1">
        <f>IF(G203="High Street",1,0)</f>
        <v>0</v>
      </c>
      <c r="J203" s="1">
        <f>IF(G203="Mall",1,0)</f>
        <v>0</v>
      </c>
      <c r="K203" s="1">
        <v>45209.25</v>
      </c>
      <c r="L203" s="1">
        <v>9287</v>
      </c>
      <c r="M203" s="1">
        <v>0.14099999999999999</v>
      </c>
      <c r="N203" s="1">
        <v>22</v>
      </c>
      <c r="O203" s="1">
        <v>86.4</v>
      </c>
      <c r="P203" s="1">
        <v>13.22</v>
      </c>
      <c r="Q203" s="1">
        <v>0</v>
      </c>
      <c r="R203" s="1">
        <v>3.6</v>
      </c>
      <c r="S203" s="1">
        <v>751393.88</v>
      </c>
      <c r="T203" s="1">
        <v>91480.320000000007</v>
      </c>
      <c r="U203">
        <f>146249.7963 + (33.6835738*L203) + (1.176703422*K203) + (3062.934007*O203) + (-39654.57312*H203) + (-22957.90276*I203) + (-11306.62502*J203)</f>
        <v>737249.95044645353</v>
      </c>
      <c r="V203">
        <f>S203-U203</f>
        <v>14143.929553546477</v>
      </c>
      <c r="W203" s="30">
        <f>V203/S203*100</f>
        <v>1.8823588972466048</v>
      </c>
    </row>
    <row r="204" spans="1:23">
      <c r="A204" s="1" t="s">
        <v>34</v>
      </c>
      <c r="B204" s="3">
        <v>45717</v>
      </c>
      <c r="C204" s="1" t="s">
        <v>20</v>
      </c>
      <c r="D204" s="1">
        <f>IF(C204="East",1,0)</f>
        <v>0</v>
      </c>
      <c r="E204" s="1">
        <f>IF(C204="West",1,0)</f>
        <v>0</v>
      </c>
      <c r="F204" s="1">
        <f>IF(C204="North",1,0)</f>
        <v>1</v>
      </c>
      <c r="G204" s="1" t="s">
        <v>28</v>
      </c>
      <c r="H204" s="1">
        <f>IF(G204="Residential",1,0)</f>
        <v>0</v>
      </c>
      <c r="I204" s="1">
        <f>IF(G204="High Street",1,0)</f>
        <v>0</v>
      </c>
      <c r="J204" s="1">
        <f>IF(G204="Mall",1,0)</f>
        <v>1</v>
      </c>
      <c r="K204" s="1">
        <v>48287.85</v>
      </c>
      <c r="L204" s="1">
        <v>5150</v>
      </c>
      <c r="M204" s="1">
        <v>8.0000000000000002E-3</v>
      </c>
      <c r="N204" s="1">
        <v>12</v>
      </c>
      <c r="O204" s="1">
        <v>80.400000000000006</v>
      </c>
      <c r="P204" s="1">
        <v>7.4</v>
      </c>
      <c r="Q204" s="1">
        <v>0</v>
      </c>
      <c r="R204" s="1">
        <v>4.5</v>
      </c>
      <c r="S204" s="1">
        <v>625672.86</v>
      </c>
      <c r="T204" s="1">
        <v>118020.12</v>
      </c>
      <c r="U204">
        <f>146249.7963 + (33.6835738*L204) + (1.176703422*K204) + (3062.934007*O204) + (-39654.57312*H204) + (-22957.90276*I204) + (-11306.62502*J204)</f>
        <v>611493.94884882262</v>
      </c>
      <c r="V204">
        <f>S204-U204</f>
        <v>14178.911151177366</v>
      </c>
      <c r="W204" s="30">
        <f>V204/S204*100</f>
        <v>2.2661860626617827</v>
      </c>
    </row>
    <row r="205" spans="1:23">
      <c r="A205" s="1" t="s">
        <v>40</v>
      </c>
      <c r="B205" s="3">
        <v>45658</v>
      </c>
      <c r="C205" s="1" t="s">
        <v>15</v>
      </c>
      <c r="D205" s="1">
        <f>IF(C205="East",1,0)</f>
        <v>1</v>
      </c>
      <c r="E205" s="1">
        <f>IF(C205="West",1,0)</f>
        <v>0</v>
      </c>
      <c r="F205" s="1">
        <f>IF(C205="North",1,0)</f>
        <v>0</v>
      </c>
      <c r="G205" s="1" t="s">
        <v>16</v>
      </c>
      <c r="H205" s="1">
        <f>IF(G205="Residential",1,0)</f>
        <v>1</v>
      </c>
      <c r="I205" s="1">
        <f>IF(G205="High Street",1,0)</f>
        <v>0</v>
      </c>
      <c r="J205" s="1">
        <f>IF(G205="Mall",1,0)</f>
        <v>0</v>
      </c>
      <c r="K205" s="1">
        <v>46201.46</v>
      </c>
      <c r="L205" s="1">
        <v>5918</v>
      </c>
      <c r="M205" s="1">
        <v>0.27700000000000002</v>
      </c>
      <c r="N205" s="1">
        <v>13</v>
      </c>
      <c r="O205" s="1">
        <v>78.8</v>
      </c>
      <c r="P205" s="1">
        <v>4.91</v>
      </c>
      <c r="Q205" s="1">
        <v>0</v>
      </c>
      <c r="R205" s="1">
        <v>4.5</v>
      </c>
      <c r="S205" s="1">
        <v>616069.41</v>
      </c>
      <c r="T205" s="1">
        <v>54453.99</v>
      </c>
      <c r="U205">
        <f>146249.7963 + (33.6835738*L205) + (1.176703422*K205) + (3062.934007*O205) + (-39654.57312*H205) + (-22957.90276*I205) + (-11306.62502*J205)</f>
        <v>601659.22876339615</v>
      </c>
      <c r="V205">
        <f>S205-U205</f>
        <v>14410.181236603879</v>
      </c>
      <c r="W205" s="30">
        <f>V205/S205*100</f>
        <v>2.3390515748223693</v>
      </c>
    </row>
    <row r="206" spans="1:23">
      <c r="A206" s="1" t="s">
        <v>67</v>
      </c>
      <c r="B206" s="3">
        <v>45717</v>
      </c>
      <c r="C206" s="1" t="s">
        <v>27</v>
      </c>
      <c r="D206" s="1">
        <f>IF(C206="East",1,0)</f>
        <v>0</v>
      </c>
      <c r="E206" s="1">
        <f>IF(C206="West",1,0)</f>
        <v>1</v>
      </c>
      <c r="F206" s="1">
        <f>IF(C206="North",1,0)</f>
        <v>0</v>
      </c>
      <c r="G206" s="1" t="s">
        <v>16</v>
      </c>
      <c r="H206" s="1">
        <f>IF(G206="Residential",1,0)</f>
        <v>1</v>
      </c>
      <c r="I206" s="1">
        <f>IF(G206="High Street",1,0)</f>
        <v>0</v>
      </c>
      <c r="J206" s="1">
        <f>IF(G206="Mall",1,0)</f>
        <v>0</v>
      </c>
      <c r="K206" s="1">
        <v>63010.23</v>
      </c>
      <c r="L206" s="1">
        <v>9812</v>
      </c>
      <c r="M206" s="1">
        <v>0.113</v>
      </c>
      <c r="N206" s="1">
        <v>24</v>
      </c>
      <c r="O206" s="1">
        <v>76.8</v>
      </c>
      <c r="P206" s="1">
        <v>1.02</v>
      </c>
      <c r="Q206" s="1">
        <v>1</v>
      </c>
      <c r="R206" s="1">
        <v>3.8</v>
      </c>
      <c r="S206" s="1">
        <v>761077.08</v>
      </c>
      <c r="T206" s="1">
        <v>113605.93</v>
      </c>
      <c r="U206">
        <f>146249.7963 + (33.6835738*L206) + (1.176703422*K206) + (3062.934007*O206) + (-39654.57312*H206) + (-22957.90276*I206) + (-11306.62502*J206)</f>
        <v>746476.13430520718</v>
      </c>
      <c r="V206">
        <f>S206-U206</f>
        <v>14600.945694792783</v>
      </c>
      <c r="W206" s="30">
        <f>V206/S206*100</f>
        <v>1.9184582059405577</v>
      </c>
    </row>
    <row r="207" spans="1:23">
      <c r="A207" s="1" t="s">
        <v>78</v>
      </c>
      <c r="B207" s="3">
        <v>45658</v>
      </c>
      <c r="C207" s="1" t="s">
        <v>15</v>
      </c>
      <c r="D207" s="1">
        <f>IF(C207="East",1,0)</f>
        <v>1</v>
      </c>
      <c r="E207" s="1">
        <f>IF(C207="West",1,0)</f>
        <v>0</v>
      </c>
      <c r="F207" s="1">
        <f>IF(C207="North",1,0)</f>
        <v>0</v>
      </c>
      <c r="G207" s="1" t="s">
        <v>28</v>
      </c>
      <c r="H207" s="1">
        <f>IF(G207="Residential",1,0)</f>
        <v>0</v>
      </c>
      <c r="I207" s="1">
        <f>IF(G207="High Street",1,0)</f>
        <v>0</v>
      </c>
      <c r="J207" s="1">
        <f>IF(G207="Mall",1,0)</f>
        <v>1</v>
      </c>
      <c r="K207" s="1">
        <v>68212.289999999994</v>
      </c>
      <c r="L207" s="1">
        <v>4713</v>
      </c>
      <c r="M207" s="1">
        <v>0.19800000000000001</v>
      </c>
      <c r="N207" s="1">
        <v>15</v>
      </c>
      <c r="O207" s="1">
        <v>82.6</v>
      </c>
      <c r="P207" s="1">
        <v>4.07</v>
      </c>
      <c r="Q207" s="1">
        <v>1</v>
      </c>
      <c r="R207" s="1">
        <v>3</v>
      </c>
      <c r="S207" s="1">
        <v>641564.6</v>
      </c>
      <c r="T207" s="1">
        <v>90468.96</v>
      </c>
      <c r="U207">
        <f>146249.7963 + (33.6835738*L207) + (1.176703422*K207) + (3062.934007*O207) + (-39654.57312*H207) + (-22957.90276*I207) + (-11306.62502*J207)</f>
        <v>626957.83864305634</v>
      </c>
      <c r="V207">
        <f>S207-U207</f>
        <v>14606.761356943636</v>
      </c>
      <c r="W207" s="30">
        <f>V207/S207*100</f>
        <v>2.2767405428765297</v>
      </c>
    </row>
    <row r="208" spans="1:23">
      <c r="A208" s="1" t="s">
        <v>51</v>
      </c>
      <c r="B208" s="3">
        <v>45658</v>
      </c>
      <c r="C208" s="1" t="s">
        <v>27</v>
      </c>
      <c r="D208" s="1">
        <f>IF(C208="East",1,0)</f>
        <v>0</v>
      </c>
      <c r="E208" s="1">
        <f>IF(C208="West",1,0)</f>
        <v>1</v>
      </c>
      <c r="F208" s="1">
        <f>IF(C208="North",1,0)</f>
        <v>0</v>
      </c>
      <c r="G208" s="1" t="s">
        <v>16</v>
      </c>
      <c r="H208" s="1">
        <f>IF(G208="Residential",1,0)</f>
        <v>1</v>
      </c>
      <c r="I208" s="1">
        <f>IF(G208="High Street",1,0)</f>
        <v>0</v>
      </c>
      <c r="J208" s="1">
        <f>IF(G208="Mall",1,0)</f>
        <v>0</v>
      </c>
      <c r="K208" s="1">
        <v>43685.14</v>
      </c>
      <c r="L208" s="1">
        <v>7821</v>
      </c>
      <c r="M208" s="1">
        <v>0.19</v>
      </c>
      <c r="N208" s="1">
        <v>17</v>
      </c>
      <c r="O208" s="1">
        <v>91</v>
      </c>
      <c r="P208" s="1">
        <v>2.4900000000000002</v>
      </c>
      <c r="Q208" s="1">
        <v>1</v>
      </c>
      <c r="R208" s="1">
        <v>4.7</v>
      </c>
      <c r="S208" s="1">
        <v>714942.43</v>
      </c>
      <c r="T208" s="1">
        <v>94697.71</v>
      </c>
      <c r="U208">
        <f>146249.7963 + (33.6835738*L208) + (1.176703422*K208) + (3062.934007*O208) + (-39654.57312*H208) + (-22957.90276*I208) + (-11306.62502*J208)</f>
        <v>700165.90223534906</v>
      </c>
      <c r="V208">
        <f>S208-U208</f>
        <v>14776.527764650993</v>
      </c>
      <c r="W208" s="30">
        <f>V208/S208*100</f>
        <v>2.066813654443616</v>
      </c>
    </row>
    <row r="209" spans="1:23">
      <c r="A209" s="1" t="s">
        <v>82</v>
      </c>
      <c r="B209" s="3">
        <v>45658</v>
      </c>
      <c r="C209" s="1" t="s">
        <v>24</v>
      </c>
      <c r="D209" s="1">
        <f>IF(C209="East",1,0)</f>
        <v>0</v>
      </c>
      <c r="E209" s="1">
        <f>IF(C209="West",1,0)</f>
        <v>0</v>
      </c>
      <c r="F209" s="1">
        <f>IF(C209="North",1,0)</f>
        <v>0</v>
      </c>
      <c r="G209" s="1" t="s">
        <v>21</v>
      </c>
      <c r="H209" s="1">
        <f>IF(G209="Residential",1,0)</f>
        <v>0</v>
      </c>
      <c r="I209" s="1">
        <f>IF(G209="High Street",1,0)</f>
        <v>0</v>
      </c>
      <c r="J209" s="1">
        <f>IF(G209="Mall",1,0)</f>
        <v>0</v>
      </c>
      <c r="K209" s="1">
        <v>69900.12</v>
      </c>
      <c r="L209" s="1">
        <v>8055</v>
      </c>
      <c r="M209" s="1">
        <v>0.28100000000000003</v>
      </c>
      <c r="N209" s="1">
        <v>22</v>
      </c>
      <c r="O209" s="1">
        <v>85.6</v>
      </c>
      <c r="P209" s="1">
        <v>10.68</v>
      </c>
      <c r="Q209" s="1">
        <v>1</v>
      </c>
      <c r="R209" s="1">
        <v>2.9</v>
      </c>
      <c r="S209" s="1">
        <v>776992.93</v>
      </c>
      <c r="T209" s="1">
        <v>101598.32</v>
      </c>
      <c r="U209">
        <f>146249.7963 + (33.6835738*L209) + (1.176703422*K209) + (3062.934007*O209) + (-39654.57312*H209) + (-22957.90276*I209) + (-11306.62502*J209)</f>
        <v>762009.84466041054</v>
      </c>
      <c r="V209">
        <f>S209-U209</f>
        <v>14983.08533958951</v>
      </c>
      <c r="W209" s="30">
        <f>V209/S209*100</f>
        <v>1.9283425577102109</v>
      </c>
    </row>
    <row r="210" spans="1:23">
      <c r="A210" s="1" t="s">
        <v>42</v>
      </c>
      <c r="B210" s="3">
        <v>45748</v>
      </c>
      <c r="C210" s="1" t="s">
        <v>27</v>
      </c>
      <c r="D210" s="1">
        <f>IF(C210="East",1,0)</f>
        <v>0</v>
      </c>
      <c r="E210" s="1">
        <f>IF(C210="West",1,0)</f>
        <v>1</v>
      </c>
      <c r="F210" s="1">
        <f>IF(C210="North",1,0)</f>
        <v>0</v>
      </c>
      <c r="G210" s="1" t="s">
        <v>28</v>
      </c>
      <c r="H210" s="1">
        <f>IF(G210="Residential",1,0)</f>
        <v>0</v>
      </c>
      <c r="I210" s="1">
        <f>IF(G210="High Street",1,0)</f>
        <v>0</v>
      </c>
      <c r="J210" s="1">
        <f>IF(G210="Mall",1,0)</f>
        <v>1</v>
      </c>
      <c r="K210" s="1">
        <v>36475.71</v>
      </c>
      <c r="L210" s="1">
        <v>3559</v>
      </c>
      <c r="M210" s="1">
        <v>0.03</v>
      </c>
      <c r="N210" s="1">
        <v>8</v>
      </c>
      <c r="O210" s="1">
        <v>83.6</v>
      </c>
      <c r="P210" s="1">
        <v>1.41</v>
      </c>
      <c r="Q210" s="1">
        <v>0</v>
      </c>
      <c r="R210" s="1">
        <v>4.2</v>
      </c>
      <c r="S210" s="1">
        <v>569100.78</v>
      </c>
      <c r="T210" s="1">
        <v>104808.78</v>
      </c>
      <c r="U210">
        <f>146249.7963 + (33.6835738*L210) + (1.176703422*K210) + (3062.934007*O210) + (-39654.57312*H210) + (-22957.90276*I210) + (-11306.62502*J210)</f>
        <v>553805.38619627955</v>
      </c>
      <c r="V210">
        <f>S210-U210</f>
        <v>15295.393803720479</v>
      </c>
      <c r="W210" s="30">
        <f>V210/S210*100</f>
        <v>2.6876423897574835</v>
      </c>
    </row>
    <row r="211" spans="1:23">
      <c r="A211" s="1" t="s">
        <v>101</v>
      </c>
      <c r="B211" s="3">
        <v>45689</v>
      </c>
      <c r="C211" s="1" t="s">
        <v>15</v>
      </c>
      <c r="D211" s="1">
        <f>IF(C211="East",1,0)</f>
        <v>1</v>
      </c>
      <c r="E211" s="1">
        <f>IF(C211="West",1,0)</f>
        <v>0</v>
      </c>
      <c r="F211" s="1">
        <f>IF(C211="North",1,0)</f>
        <v>0</v>
      </c>
      <c r="G211" s="1" t="s">
        <v>16</v>
      </c>
      <c r="H211" s="1">
        <f>IF(G211="Residential",1,0)</f>
        <v>1</v>
      </c>
      <c r="I211" s="1">
        <f>IF(G211="High Street",1,0)</f>
        <v>0</v>
      </c>
      <c r="J211" s="1">
        <f>IF(G211="Mall",1,0)</f>
        <v>0</v>
      </c>
      <c r="K211" s="1">
        <v>24088.06</v>
      </c>
      <c r="L211" s="1">
        <v>3466</v>
      </c>
      <c r="M211" s="1">
        <v>0</v>
      </c>
      <c r="N211" s="1">
        <v>11</v>
      </c>
      <c r="O211" s="1">
        <v>88</v>
      </c>
      <c r="P211" s="1">
        <v>0.2</v>
      </c>
      <c r="Q211" s="1">
        <v>0</v>
      </c>
      <c r="R211" s="1">
        <v>3.8</v>
      </c>
      <c r="S211" s="1">
        <v>536845.42000000004</v>
      </c>
      <c r="T211" s="1">
        <v>107473.75</v>
      </c>
      <c r="U211">
        <f>146249.7963 + (33.6835738*L211) + (1.176703422*K211) + (3062.934007*O211) + (-39654.57312*H211) + (-22957.90276*I211) + (-11306.62502*J211)</f>
        <v>521225.18521814124</v>
      </c>
      <c r="V211">
        <f>S211-U211</f>
        <v>15620.234781858802</v>
      </c>
      <c r="W211" s="30">
        <f>V211/S211*100</f>
        <v>2.9096336114516541</v>
      </c>
    </row>
    <row r="212" spans="1:23">
      <c r="A212" s="1" t="s">
        <v>25</v>
      </c>
      <c r="B212" s="3">
        <v>45748</v>
      </c>
      <c r="C212" s="1" t="s">
        <v>20</v>
      </c>
      <c r="D212" s="1">
        <f>IF(C212="East",1,0)</f>
        <v>0</v>
      </c>
      <c r="E212" s="1">
        <f>IF(C212="West",1,0)</f>
        <v>0</v>
      </c>
      <c r="F212" s="1">
        <f>IF(C212="North",1,0)</f>
        <v>1</v>
      </c>
      <c r="G212" s="1" t="s">
        <v>16</v>
      </c>
      <c r="H212" s="1">
        <f>IF(G212="Residential",1,0)</f>
        <v>1</v>
      </c>
      <c r="I212" s="1">
        <f>IF(G212="High Street",1,0)</f>
        <v>0</v>
      </c>
      <c r="J212" s="1">
        <f>IF(G212="Mall",1,0)</f>
        <v>0</v>
      </c>
      <c r="K212" s="1">
        <v>62060.43</v>
      </c>
      <c r="L212" s="1">
        <v>2613</v>
      </c>
      <c r="M212" s="1">
        <v>0.216</v>
      </c>
      <c r="N212" s="1">
        <v>12</v>
      </c>
      <c r="O212" s="1">
        <v>92.1</v>
      </c>
      <c r="P212" s="1">
        <v>1.55</v>
      </c>
      <c r="Q212" s="1">
        <v>0</v>
      </c>
      <c r="R212" s="1">
        <v>4.7</v>
      </c>
      <c r="S212" s="1">
        <v>565810.99</v>
      </c>
      <c r="T212" s="1">
        <v>77825.460000000006</v>
      </c>
      <c r="U212">
        <f>146249.7963 + (33.6835738*L212) + (1.176703422*K212) + (3062.934007*O212) + (-39654.57312*H212) + (-22957.90276*I212) + (-11306.62502*J212)</f>
        <v>549733.34391589148</v>
      </c>
      <c r="V212">
        <f>S212-U212</f>
        <v>16077.646084108506</v>
      </c>
      <c r="W212" s="30">
        <f>V212/S212*100</f>
        <v>2.8415224108864527</v>
      </c>
    </row>
    <row r="213" spans="1:23">
      <c r="A213" s="1" t="s">
        <v>93</v>
      </c>
      <c r="B213" s="3">
        <v>45717</v>
      </c>
      <c r="C213" s="1" t="s">
        <v>27</v>
      </c>
      <c r="D213" s="1">
        <f>IF(C213="East",1,0)</f>
        <v>0</v>
      </c>
      <c r="E213" s="1">
        <f>IF(C213="West",1,0)</f>
        <v>1</v>
      </c>
      <c r="F213" s="1">
        <f>IF(C213="North",1,0)</f>
        <v>0</v>
      </c>
      <c r="G213" s="1" t="s">
        <v>16</v>
      </c>
      <c r="H213" s="1">
        <f>IF(G213="Residential",1,0)</f>
        <v>1</v>
      </c>
      <c r="I213" s="1">
        <f>IF(G213="High Street",1,0)</f>
        <v>0</v>
      </c>
      <c r="J213" s="1">
        <f>IF(G213="Mall",1,0)</f>
        <v>0</v>
      </c>
      <c r="K213" s="1">
        <v>55371.97</v>
      </c>
      <c r="L213" s="1">
        <v>4162</v>
      </c>
      <c r="M213" s="1">
        <v>0.183</v>
      </c>
      <c r="N213" s="1">
        <v>11</v>
      </c>
      <c r="O213" s="1">
        <v>92</v>
      </c>
      <c r="P213" s="1">
        <v>0.2</v>
      </c>
      <c r="Q213" s="1">
        <v>1</v>
      </c>
      <c r="R213" s="1">
        <v>4.2</v>
      </c>
      <c r="S213" s="1">
        <v>609949</v>
      </c>
      <c r="T213" s="1">
        <v>126789.25</v>
      </c>
      <c r="U213">
        <f>146249.7963 + (33.6835738*L213) + (1.176703422*K213) + (3062.934007*O213) + (-39654.57312*H213) + (-22957.90276*I213) + (-11306.62502*J213)</f>
        <v>593732.57256148127</v>
      </c>
      <c r="V213">
        <f>S213-U213</f>
        <v>16216.427438518731</v>
      </c>
      <c r="W213" s="30">
        <f>V213/S213*100</f>
        <v>2.658653008451318</v>
      </c>
    </row>
    <row r="214" spans="1:23">
      <c r="A214" s="1" t="s">
        <v>88</v>
      </c>
      <c r="B214" s="3">
        <v>45717</v>
      </c>
      <c r="C214" s="1" t="s">
        <v>15</v>
      </c>
      <c r="D214" s="1">
        <f>IF(C214="East",1,0)</f>
        <v>1</v>
      </c>
      <c r="E214" s="1">
        <f>IF(C214="West",1,0)</f>
        <v>0</v>
      </c>
      <c r="F214" s="1">
        <f>IF(C214="North",1,0)</f>
        <v>0</v>
      </c>
      <c r="G214" s="1" t="s">
        <v>18</v>
      </c>
      <c r="H214" s="1">
        <f>IF(G214="Residential",1,0)</f>
        <v>0</v>
      </c>
      <c r="I214" s="1">
        <f>IF(G214="High Street",1,0)</f>
        <v>1</v>
      </c>
      <c r="J214" s="1">
        <f>IF(G214="Mall",1,0)</f>
        <v>0</v>
      </c>
      <c r="K214" s="1">
        <v>56602.39</v>
      </c>
      <c r="L214" s="1">
        <v>7969</v>
      </c>
      <c r="M214" s="1">
        <v>0.17</v>
      </c>
      <c r="N214" s="1">
        <v>21</v>
      </c>
      <c r="O214" s="1">
        <v>88.3</v>
      </c>
      <c r="P214" s="1">
        <v>2.25</v>
      </c>
      <c r="Q214" s="1">
        <v>0</v>
      </c>
      <c r="R214" s="1">
        <v>3.7</v>
      </c>
      <c r="S214" s="1">
        <v>745580.51</v>
      </c>
      <c r="T214" s="1">
        <v>116273.68</v>
      </c>
      <c r="U214">
        <f>146249.7963 + (33.6835738*L214) + (1.176703422*K214) + (3062.934007*O214) + (-39654.57312*H214) + (-22957.90276*I214) + (-11306.62502*J214)</f>
        <v>728777.59197667858</v>
      </c>
      <c r="V214">
        <f>S214-U214</f>
        <v>16802.918023321428</v>
      </c>
      <c r="W214" s="30">
        <f>V214/S214*100</f>
        <v>2.253669160869217</v>
      </c>
    </row>
    <row r="215" spans="1:23">
      <c r="A215" s="1" t="s">
        <v>82</v>
      </c>
      <c r="B215" s="3">
        <v>45689</v>
      </c>
      <c r="C215" s="1" t="s">
        <v>24</v>
      </c>
      <c r="D215" s="1">
        <f>IF(C215="East",1,0)</f>
        <v>0</v>
      </c>
      <c r="E215" s="1">
        <f>IF(C215="West",1,0)</f>
        <v>0</v>
      </c>
      <c r="F215" s="1">
        <f>IF(C215="North",1,0)</f>
        <v>0</v>
      </c>
      <c r="G215" s="1" t="s">
        <v>21</v>
      </c>
      <c r="H215" s="1">
        <f>IF(G215="Residential",1,0)</f>
        <v>0</v>
      </c>
      <c r="I215" s="1">
        <f>IF(G215="High Street",1,0)</f>
        <v>0</v>
      </c>
      <c r="J215" s="1">
        <f>IF(G215="Mall",1,0)</f>
        <v>0</v>
      </c>
      <c r="K215" s="1">
        <v>51781.599999999999</v>
      </c>
      <c r="L215" s="1">
        <v>5648</v>
      </c>
      <c r="M215" s="1">
        <v>5.8999999999999997E-2</v>
      </c>
      <c r="N215" s="1">
        <v>13</v>
      </c>
      <c r="O215" s="1">
        <v>85.5</v>
      </c>
      <c r="P215" s="1">
        <v>4.04</v>
      </c>
      <c r="Q215" s="1">
        <v>0</v>
      </c>
      <c r="R215" s="1">
        <v>3.7</v>
      </c>
      <c r="S215" s="1">
        <v>676337.41</v>
      </c>
      <c r="T215" s="1">
        <v>104355.77</v>
      </c>
      <c r="U215">
        <f>146249.7963 + (33.6835738*L215) + (1.176703422*K215) + (3062.934007*O215) + (-39654.57312*H215) + (-22957.90276*I215) + (-11306.62502*J215)</f>
        <v>659307.06463753514</v>
      </c>
      <c r="V215">
        <f>S215-U215</f>
        <v>17030.345362464897</v>
      </c>
      <c r="W215" s="30">
        <f>V215/S215*100</f>
        <v>2.5180250435156171</v>
      </c>
    </row>
    <row r="216" spans="1:23">
      <c r="A216" s="1" t="s">
        <v>80</v>
      </c>
      <c r="B216" s="3">
        <v>45748</v>
      </c>
      <c r="C216" s="1" t="s">
        <v>27</v>
      </c>
      <c r="D216" s="1">
        <f>IF(C216="East",1,0)</f>
        <v>0</v>
      </c>
      <c r="E216" s="1">
        <f>IF(C216="West",1,0)</f>
        <v>1</v>
      </c>
      <c r="F216" s="1">
        <f>IF(C216="North",1,0)</f>
        <v>0</v>
      </c>
      <c r="G216" s="1" t="s">
        <v>16</v>
      </c>
      <c r="H216" s="1">
        <f>IF(G216="Residential",1,0)</f>
        <v>1</v>
      </c>
      <c r="I216" s="1">
        <f>IF(G216="High Street",1,0)</f>
        <v>0</v>
      </c>
      <c r="J216" s="1">
        <f>IF(G216="Mall",1,0)</f>
        <v>0</v>
      </c>
      <c r="K216" s="1">
        <v>47944.14</v>
      </c>
      <c r="L216" s="1">
        <v>6169</v>
      </c>
      <c r="M216" s="1">
        <v>0.11899999999999999</v>
      </c>
      <c r="N216" s="1">
        <v>17</v>
      </c>
      <c r="O216" s="1">
        <v>92.2</v>
      </c>
      <c r="P216" s="1">
        <v>3.02</v>
      </c>
      <c r="Q216" s="1">
        <v>0</v>
      </c>
      <c r="R216" s="1">
        <v>4.0999999999999996</v>
      </c>
      <c r="S216" s="1">
        <v>670629.48</v>
      </c>
      <c r="T216" s="1">
        <v>100140.8</v>
      </c>
      <c r="U216">
        <f>146249.7963 + (33.6835738*L216) + (1.176703422*K216) + (3062.934007*O216) + (-39654.57312*H216) + (-22957.90276*I216) + (-11306.62502*J216)</f>
        <v>653207.73900044709</v>
      </c>
      <c r="V216">
        <f>S216-U216</f>
        <v>17421.740999552887</v>
      </c>
      <c r="W216" s="30">
        <f>V216/S216*100</f>
        <v>2.5978191414360263</v>
      </c>
    </row>
    <row r="217" spans="1:23">
      <c r="A217" s="1" t="s">
        <v>79</v>
      </c>
      <c r="B217" s="3">
        <v>45748</v>
      </c>
      <c r="C217" s="1" t="s">
        <v>15</v>
      </c>
      <c r="D217" s="1">
        <f>IF(C217="East",1,0)</f>
        <v>1</v>
      </c>
      <c r="E217" s="1">
        <f>IF(C217="West",1,0)</f>
        <v>0</v>
      </c>
      <c r="F217" s="1">
        <f>IF(C217="North",1,0)</f>
        <v>0</v>
      </c>
      <c r="G217" s="1" t="s">
        <v>18</v>
      </c>
      <c r="H217" s="1">
        <f>IF(G217="Residential",1,0)</f>
        <v>0</v>
      </c>
      <c r="I217" s="1">
        <f>IF(G217="High Street",1,0)</f>
        <v>1</v>
      </c>
      <c r="J217" s="1">
        <f>IF(G217="Mall",1,0)</f>
        <v>0</v>
      </c>
      <c r="K217" s="1">
        <v>25818.080000000002</v>
      </c>
      <c r="L217" s="1">
        <v>5457</v>
      </c>
      <c r="M217" s="1">
        <v>0</v>
      </c>
      <c r="N217" s="1">
        <v>11</v>
      </c>
      <c r="O217" s="1">
        <v>95.4</v>
      </c>
      <c r="P217" s="1">
        <v>3.36</v>
      </c>
      <c r="Q217" s="1">
        <v>0</v>
      </c>
      <c r="R217" s="1">
        <v>3.7</v>
      </c>
      <c r="S217" s="1">
        <v>647512.85</v>
      </c>
      <c r="T217" s="1">
        <v>153835.57</v>
      </c>
      <c r="U217">
        <f>146249.7963 + (33.6835738*L217) + (1.176703422*K217) + (3062.934007*O217) + (-39654.57312*H217) + (-22957.90276*I217) + (-11306.62502*J217)</f>
        <v>629687.28311986977</v>
      </c>
      <c r="V217">
        <f>S217-U217</f>
        <v>17825.566880130209</v>
      </c>
      <c r="W217" s="30">
        <f>V217/S217*100</f>
        <v>2.7529286685399694</v>
      </c>
    </row>
    <row r="218" spans="1:23">
      <c r="A218" s="1" t="s">
        <v>68</v>
      </c>
      <c r="B218" s="3">
        <v>45689</v>
      </c>
      <c r="C218" s="1" t="s">
        <v>20</v>
      </c>
      <c r="D218" s="1">
        <f>IF(C218="East",1,0)</f>
        <v>0</v>
      </c>
      <c r="E218" s="1">
        <f>IF(C218="West",1,0)</f>
        <v>0</v>
      </c>
      <c r="F218" s="1">
        <f>IF(C218="North",1,0)</f>
        <v>1</v>
      </c>
      <c r="G218" s="1" t="s">
        <v>18</v>
      </c>
      <c r="H218" s="1">
        <f>IF(G218="Residential",1,0)</f>
        <v>0</v>
      </c>
      <c r="I218" s="1">
        <f>IF(G218="High Street",1,0)</f>
        <v>1</v>
      </c>
      <c r="J218" s="1">
        <f>IF(G218="Mall",1,0)</f>
        <v>0</v>
      </c>
      <c r="K218" s="1">
        <v>57147.88</v>
      </c>
      <c r="L218" s="1">
        <v>5252</v>
      </c>
      <c r="M218" s="1">
        <v>0.161</v>
      </c>
      <c r="N218" s="1">
        <v>15</v>
      </c>
      <c r="O218" s="1">
        <v>95.5</v>
      </c>
      <c r="P218" s="1">
        <v>8.51</v>
      </c>
      <c r="Q218" s="1">
        <v>0</v>
      </c>
      <c r="R218" s="1">
        <v>4.4000000000000004</v>
      </c>
      <c r="S218" s="1">
        <v>678311.17</v>
      </c>
      <c r="T218" s="1">
        <v>132029.76000000001</v>
      </c>
      <c r="U218">
        <f>146249.7963 + (33.6835738*L218) + (1.176703422*K218) + (3062.934007*O218) + (-39654.57312*H218) + (-22957.90276*I218) + (-11306.62502*J218)</f>
        <v>659954.32676214539</v>
      </c>
      <c r="V218">
        <f>S218-U218</f>
        <v>18356.843237854657</v>
      </c>
      <c r="W218" s="30">
        <f>V218/S218*100</f>
        <v>2.7062569584184581</v>
      </c>
    </row>
    <row r="219" spans="1:23">
      <c r="A219" s="1" t="s">
        <v>59</v>
      </c>
      <c r="B219" s="3">
        <v>45748</v>
      </c>
      <c r="C219" s="1" t="s">
        <v>24</v>
      </c>
      <c r="D219" s="1">
        <f>IF(C219="East",1,0)</f>
        <v>0</v>
      </c>
      <c r="E219" s="1">
        <f>IF(C219="West",1,0)</f>
        <v>0</v>
      </c>
      <c r="F219" s="1">
        <f>IF(C219="North",1,0)</f>
        <v>0</v>
      </c>
      <c r="G219" s="1" t="s">
        <v>28</v>
      </c>
      <c r="H219" s="1">
        <f>IF(G219="Residential",1,0)</f>
        <v>0</v>
      </c>
      <c r="I219" s="1">
        <f>IF(G219="High Street",1,0)</f>
        <v>0</v>
      </c>
      <c r="J219" s="1">
        <f>IF(G219="Mall",1,0)</f>
        <v>1</v>
      </c>
      <c r="K219" s="1">
        <v>71855.09</v>
      </c>
      <c r="L219" s="1">
        <v>5911</v>
      </c>
      <c r="M219" s="1">
        <v>0.19700000000000001</v>
      </c>
      <c r="N219" s="1">
        <v>15</v>
      </c>
      <c r="O219" s="1">
        <v>94.3</v>
      </c>
      <c r="P219" s="1">
        <v>3.55</v>
      </c>
      <c r="Q219" s="1">
        <v>0</v>
      </c>
      <c r="R219" s="1">
        <v>4.0999999999999996</v>
      </c>
      <c r="S219" s="1">
        <v>725847.99</v>
      </c>
      <c r="T219" s="1">
        <v>122698.73</v>
      </c>
      <c r="U219">
        <f>146249.7963 + (33.6835738*L219) + (1.176703422*K219) + (3062.934007*O219) + (-39654.57312*H219) + (-22957.90276*I219) + (-11306.62502*J219)</f>
        <v>707433.58316301787</v>
      </c>
      <c r="V219">
        <f>S219-U219</f>
        <v>18414.406836982118</v>
      </c>
      <c r="W219" s="30">
        <f>V219/S219*100</f>
        <v>2.536950861706198</v>
      </c>
    </row>
    <row r="220" spans="1:23">
      <c r="A220" s="1" t="s">
        <v>84</v>
      </c>
      <c r="B220" s="3">
        <v>45748</v>
      </c>
      <c r="C220" s="1" t="s">
        <v>20</v>
      </c>
      <c r="D220" s="1">
        <f>IF(C220="East",1,0)</f>
        <v>0</v>
      </c>
      <c r="E220" s="1">
        <f>IF(C220="West",1,0)</f>
        <v>0</v>
      </c>
      <c r="F220" s="1">
        <f>IF(C220="North",1,0)</f>
        <v>1</v>
      </c>
      <c r="G220" s="1" t="s">
        <v>18</v>
      </c>
      <c r="H220" s="1">
        <f>IF(G220="Residential",1,0)</f>
        <v>0</v>
      </c>
      <c r="I220" s="1">
        <f>IF(G220="High Street",1,0)</f>
        <v>1</v>
      </c>
      <c r="J220" s="1">
        <f>IF(G220="Mall",1,0)</f>
        <v>0</v>
      </c>
      <c r="K220" s="1">
        <v>97480.94</v>
      </c>
      <c r="L220" s="1">
        <v>6840</v>
      </c>
      <c r="M220" s="1">
        <v>8.6999999999999994E-2</v>
      </c>
      <c r="N220" s="1">
        <v>14</v>
      </c>
      <c r="O220" s="1">
        <v>79.2</v>
      </c>
      <c r="P220" s="1">
        <v>1.1399999999999999</v>
      </c>
      <c r="Q220" s="1">
        <v>0</v>
      </c>
      <c r="R220" s="1">
        <v>4</v>
      </c>
      <c r="S220" s="1">
        <v>729440.45</v>
      </c>
      <c r="T220" s="1">
        <v>87614.29</v>
      </c>
      <c r="U220">
        <f>146249.7963 + (33.6835738*L220) + (1.176703422*K220) + (3062.934007*O220) + (-39654.57312*H220) + (-22957.90276*I220) + (-11306.62502*J220)</f>
        <v>710978.06736417674</v>
      </c>
      <c r="V220">
        <f>S220-U220</f>
        <v>18462.382635823218</v>
      </c>
      <c r="W220" s="30">
        <f>V220/S220*100</f>
        <v>2.531033566321037</v>
      </c>
    </row>
    <row r="221" spans="1:23">
      <c r="A221" s="1" t="s">
        <v>67</v>
      </c>
      <c r="B221" s="3">
        <v>45658</v>
      </c>
      <c r="C221" s="1" t="s">
        <v>27</v>
      </c>
      <c r="D221" s="1">
        <f>IF(C221="East",1,0)</f>
        <v>0</v>
      </c>
      <c r="E221" s="1">
        <f>IF(C221="West",1,0)</f>
        <v>1</v>
      </c>
      <c r="F221" s="1">
        <f>IF(C221="North",1,0)</f>
        <v>0</v>
      </c>
      <c r="G221" s="1" t="s">
        <v>16</v>
      </c>
      <c r="H221" s="1">
        <f>IF(G221="Residential",1,0)</f>
        <v>1</v>
      </c>
      <c r="I221" s="1">
        <f>IF(G221="High Street",1,0)</f>
        <v>0</v>
      </c>
      <c r="J221" s="1">
        <f>IF(G221="Mall",1,0)</f>
        <v>0</v>
      </c>
      <c r="K221" s="1">
        <v>68491.11</v>
      </c>
      <c r="L221" s="1">
        <v>11154</v>
      </c>
      <c r="M221" s="1">
        <v>1E-3</v>
      </c>
      <c r="N221" s="1">
        <v>24</v>
      </c>
      <c r="O221" s="1">
        <v>89.4</v>
      </c>
      <c r="P221" s="1">
        <v>5.27</v>
      </c>
      <c r="Q221" s="1">
        <v>1</v>
      </c>
      <c r="R221" s="1">
        <v>3.9</v>
      </c>
      <c r="S221" s="1">
        <v>855341.28</v>
      </c>
      <c r="T221" s="1">
        <v>175823.8</v>
      </c>
      <c r="U221">
        <f>146249.7963 + (33.6835738*L221) + (1.176703422*K221) + (3062.934007*O221) + (-39654.57312*H221) + (-22957.90276*I221) + (-11306.62502*J221)</f>
        <v>836721.82908457844</v>
      </c>
      <c r="V221">
        <f>S221-U221</f>
        <v>18619.450915421592</v>
      </c>
      <c r="W221" s="30">
        <f>V221/S221*100</f>
        <v>2.1768446526305376</v>
      </c>
    </row>
    <row r="222" spans="1:23">
      <c r="A222" s="1" t="s">
        <v>46</v>
      </c>
      <c r="B222" s="3">
        <v>45748</v>
      </c>
      <c r="C222" s="1" t="s">
        <v>27</v>
      </c>
      <c r="D222" s="1">
        <f>IF(C222="East",1,0)</f>
        <v>0</v>
      </c>
      <c r="E222" s="1">
        <f>IF(C222="West",1,0)</f>
        <v>1</v>
      </c>
      <c r="F222" s="1">
        <f>IF(C222="North",1,0)</f>
        <v>0</v>
      </c>
      <c r="G222" s="1" t="s">
        <v>28</v>
      </c>
      <c r="H222" s="1">
        <f>IF(G222="Residential",1,0)</f>
        <v>0</v>
      </c>
      <c r="I222" s="1">
        <f>IF(G222="High Street",1,0)</f>
        <v>0</v>
      </c>
      <c r="J222" s="1">
        <f>IF(G222="Mall",1,0)</f>
        <v>1</v>
      </c>
      <c r="K222" s="1">
        <v>55101.1</v>
      </c>
      <c r="L222" s="1">
        <v>5281</v>
      </c>
      <c r="M222" s="1">
        <v>0.189</v>
      </c>
      <c r="N222" s="1">
        <v>11</v>
      </c>
      <c r="O222" s="1">
        <v>91</v>
      </c>
      <c r="P222" s="1">
        <v>2.7</v>
      </c>
      <c r="Q222" s="1">
        <v>0</v>
      </c>
      <c r="R222" s="1">
        <v>4.4000000000000004</v>
      </c>
      <c r="S222" s="1">
        <v>675177.68</v>
      </c>
      <c r="T222" s="1">
        <v>105628.68</v>
      </c>
      <c r="U222">
        <f>146249.7963 + (33.6835738*L222) + (1.176703422*K222) + (3062.934007*O222) + (-39654.57312*H222) + (-22957.90276*I222) + (-11306.62502*J222)</f>
        <v>656390.77208076406</v>
      </c>
      <c r="V222">
        <f>S222-U222</f>
        <v>18786.907919235993</v>
      </c>
      <c r="W222" s="30">
        <f>V222/S222*100</f>
        <v>2.7825131777513725</v>
      </c>
    </row>
    <row r="223" spans="1:23">
      <c r="A223" s="1" t="s">
        <v>54</v>
      </c>
      <c r="B223" s="3">
        <v>45658</v>
      </c>
      <c r="C223" s="1" t="s">
        <v>15</v>
      </c>
      <c r="D223" s="1">
        <f>IF(C223="East",1,0)</f>
        <v>1</v>
      </c>
      <c r="E223" s="1">
        <f>IF(C223="West",1,0)</f>
        <v>0</v>
      </c>
      <c r="F223" s="1">
        <f>IF(C223="North",1,0)</f>
        <v>0</v>
      </c>
      <c r="G223" s="1" t="s">
        <v>18</v>
      </c>
      <c r="H223" s="1">
        <f>IF(G223="Residential",1,0)</f>
        <v>0</v>
      </c>
      <c r="I223" s="1">
        <f>IF(G223="High Street",1,0)</f>
        <v>1</v>
      </c>
      <c r="J223" s="1">
        <f>IF(G223="Mall",1,0)</f>
        <v>0</v>
      </c>
      <c r="K223" s="1">
        <v>66250.53</v>
      </c>
      <c r="L223" s="1">
        <v>10618</v>
      </c>
      <c r="M223" s="1">
        <v>0.14199999999999999</v>
      </c>
      <c r="N223" s="1">
        <v>27</v>
      </c>
      <c r="O223" s="1">
        <v>88.3</v>
      </c>
      <c r="P223" s="1">
        <v>1.1000000000000001</v>
      </c>
      <c r="Q223" s="1">
        <v>1</v>
      </c>
      <c r="R223" s="1">
        <v>4.4000000000000004</v>
      </c>
      <c r="S223" s="1">
        <v>849018.3</v>
      </c>
      <c r="T223" s="1">
        <v>149035.13</v>
      </c>
      <c r="U223">
        <f>146249.7963 + (33.6835738*L223) + (1.176703422*K223) + (3062.934007*O223) + (-39654.57312*H223) + (-22957.90276*I223) + (-11306.62502*J223)</f>
        <v>829358.37832681369</v>
      </c>
      <c r="V223">
        <f>S223-U223</f>
        <v>19659.921673186356</v>
      </c>
      <c r="W223" s="30">
        <f>V223/S223*100</f>
        <v>2.3156063506742264</v>
      </c>
    </row>
    <row r="224" spans="1:23">
      <c r="A224" s="1" t="s">
        <v>57</v>
      </c>
      <c r="B224" s="3">
        <v>45748</v>
      </c>
      <c r="C224" s="1" t="s">
        <v>27</v>
      </c>
      <c r="D224" s="1">
        <f>IF(C224="East",1,0)</f>
        <v>0</v>
      </c>
      <c r="E224" s="1">
        <f>IF(C224="West",1,0)</f>
        <v>1</v>
      </c>
      <c r="F224" s="1">
        <f>IF(C224="North",1,0)</f>
        <v>0</v>
      </c>
      <c r="G224" s="1" t="s">
        <v>18</v>
      </c>
      <c r="H224" s="1">
        <f>IF(G224="Residential",1,0)</f>
        <v>0</v>
      </c>
      <c r="I224" s="1">
        <f>IF(G224="High Street",1,0)</f>
        <v>1</v>
      </c>
      <c r="J224" s="1">
        <f>IF(G224="Mall",1,0)</f>
        <v>0</v>
      </c>
      <c r="K224" s="1">
        <v>50198.12</v>
      </c>
      <c r="L224" s="1">
        <v>6089</v>
      </c>
      <c r="M224" s="1">
        <v>0.182</v>
      </c>
      <c r="N224" s="1">
        <v>19</v>
      </c>
      <c r="O224" s="1">
        <v>94</v>
      </c>
      <c r="P224" s="1">
        <v>9.6999999999999993</v>
      </c>
      <c r="Q224" s="1">
        <v>0</v>
      </c>
      <c r="R224" s="1">
        <v>3.9</v>
      </c>
      <c r="S224" s="1">
        <v>695098.51</v>
      </c>
      <c r="T224" s="1">
        <v>108192.75</v>
      </c>
      <c r="U224">
        <f>146249.7963 + (33.6835738*L224) + (1.176703422*K224) + (3062.934007*O224) + (-39654.57312*H224) + (-22957.90276*I224) + (-11306.62502*J224)</f>
        <v>675375.27064816654</v>
      </c>
      <c r="V224">
        <f>S224-U224</f>
        <v>19723.239351833472</v>
      </c>
      <c r="W224" s="30">
        <f>V224/S224*100</f>
        <v>2.8374739793117199</v>
      </c>
    </row>
    <row r="225" spans="1:23">
      <c r="A225" s="1" t="s">
        <v>43</v>
      </c>
      <c r="B225" s="3">
        <v>45658</v>
      </c>
      <c r="C225" s="1" t="s">
        <v>27</v>
      </c>
      <c r="D225" s="1">
        <f>IF(C225="East",1,0)</f>
        <v>0</v>
      </c>
      <c r="E225" s="1">
        <f>IF(C225="West",1,0)</f>
        <v>1</v>
      </c>
      <c r="F225" s="1">
        <f>IF(C225="North",1,0)</f>
        <v>0</v>
      </c>
      <c r="G225" s="1" t="s">
        <v>18</v>
      </c>
      <c r="H225" s="1">
        <f>IF(G225="Residential",1,0)</f>
        <v>0</v>
      </c>
      <c r="I225" s="1">
        <f>IF(G225="High Street",1,0)</f>
        <v>1</v>
      </c>
      <c r="J225" s="1">
        <f>IF(G225="Mall",1,0)</f>
        <v>0</v>
      </c>
      <c r="K225" s="1">
        <v>55388.11</v>
      </c>
      <c r="L225" s="1">
        <v>3091</v>
      </c>
      <c r="M225" s="1">
        <v>0.108</v>
      </c>
      <c r="N225" s="1">
        <v>7</v>
      </c>
      <c r="O225" s="1">
        <v>85.4</v>
      </c>
      <c r="P225" s="1">
        <v>7.34</v>
      </c>
      <c r="Q225" s="1">
        <v>0</v>
      </c>
      <c r="R225" s="1">
        <v>4.9000000000000004</v>
      </c>
      <c r="S225" s="1">
        <v>574436.29</v>
      </c>
      <c r="T225" s="1">
        <v>80271.990000000005</v>
      </c>
      <c r="U225">
        <f>146249.7963 + (33.6835738*L225) + (1.176703422*K225) + (3062.934007*O225) + (-39654.57312*H225) + (-22957.90276*I225) + (-11306.62502*J225)</f>
        <v>554157.76292871241</v>
      </c>
      <c r="V225">
        <f>S225-U225</f>
        <v>20278.527071287623</v>
      </c>
      <c r="W225" s="30">
        <f>V225/S225*100</f>
        <v>3.5301612074835349</v>
      </c>
    </row>
    <row r="226" spans="1:23">
      <c r="A226" s="1" t="s">
        <v>86</v>
      </c>
      <c r="B226" s="3">
        <v>45689</v>
      </c>
      <c r="C226" s="1" t="s">
        <v>24</v>
      </c>
      <c r="D226" s="1">
        <f>IF(C226="East",1,0)</f>
        <v>0</v>
      </c>
      <c r="E226" s="1">
        <f>IF(C226="West",1,0)</f>
        <v>0</v>
      </c>
      <c r="F226" s="1">
        <f>IF(C226="North",1,0)</f>
        <v>0</v>
      </c>
      <c r="G226" s="1" t="s">
        <v>28</v>
      </c>
      <c r="H226" s="1">
        <f>IF(G226="Residential",1,0)</f>
        <v>0</v>
      </c>
      <c r="I226" s="1">
        <f>IF(G226="High Street",1,0)</f>
        <v>0</v>
      </c>
      <c r="J226" s="1">
        <f>IF(G226="Mall",1,0)</f>
        <v>1</v>
      </c>
      <c r="K226" s="1">
        <v>28670.43</v>
      </c>
      <c r="L226" s="1">
        <v>7574</v>
      </c>
      <c r="M226" s="1">
        <v>0.114</v>
      </c>
      <c r="N226" s="1">
        <v>19</v>
      </c>
      <c r="O226" s="1">
        <v>82.7</v>
      </c>
      <c r="P226" s="1">
        <v>2.74</v>
      </c>
      <c r="Q226" s="1">
        <v>0</v>
      </c>
      <c r="R226" s="1">
        <v>4.5999999999999996</v>
      </c>
      <c r="S226" s="1">
        <v>697888.09</v>
      </c>
      <c r="T226" s="1">
        <v>116249.87</v>
      </c>
      <c r="U226">
        <f>146249.7963 + (33.6835738*L226) + (1.176703422*K226) + (3062.934007*O226) + (-39654.57312*H226) + (-22957.90276*I226) + (-11306.62502*J226)</f>
        <v>677103.79471131135</v>
      </c>
      <c r="V226">
        <f>S226-U226</f>
        <v>20784.29528868862</v>
      </c>
      <c r="W226" s="30">
        <f>V226/S226*100</f>
        <v>2.9781702233503684</v>
      </c>
    </row>
    <row r="227" spans="1:23">
      <c r="A227" s="1" t="s">
        <v>87</v>
      </c>
      <c r="B227" s="3">
        <v>45748</v>
      </c>
      <c r="C227" s="1" t="s">
        <v>27</v>
      </c>
      <c r="D227" s="1">
        <f>IF(C227="East",1,0)</f>
        <v>0</v>
      </c>
      <c r="E227" s="1">
        <f>IF(C227="West",1,0)</f>
        <v>1</v>
      </c>
      <c r="F227" s="1">
        <f>IF(C227="North",1,0)</f>
        <v>0</v>
      </c>
      <c r="G227" s="1" t="s">
        <v>18</v>
      </c>
      <c r="H227" s="1">
        <f>IF(G227="Residential",1,0)</f>
        <v>0</v>
      </c>
      <c r="I227" s="1">
        <f>IF(G227="High Street",1,0)</f>
        <v>1</v>
      </c>
      <c r="J227" s="1">
        <f>IF(G227="Mall",1,0)</f>
        <v>0</v>
      </c>
      <c r="K227" s="1">
        <v>58688.26</v>
      </c>
      <c r="L227" s="1">
        <v>4022</v>
      </c>
      <c r="M227" s="1">
        <v>0.217</v>
      </c>
      <c r="N227" s="1">
        <v>12</v>
      </c>
      <c r="O227" s="1">
        <v>93.8</v>
      </c>
      <c r="P227" s="1">
        <v>11.78</v>
      </c>
      <c r="Q227" s="1">
        <v>0</v>
      </c>
      <c r="R227" s="1">
        <v>3.7</v>
      </c>
      <c r="S227" s="1">
        <v>636613.23</v>
      </c>
      <c r="T227" s="1">
        <v>78908.350000000006</v>
      </c>
      <c r="U227">
        <f>146249.7963 + (33.6835738*L227) + (1.176703422*K227) + (3062.934007*O227) + (-39654.57312*H227) + (-22957.90276*I227) + (-11306.62502*J227)</f>
        <v>615129.11359342583</v>
      </c>
      <c r="V227">
        <f>S227-U227</f>
        <v>21484.116406574147</v>
      </c>
      <c r="W227" s="30">
        <f>V227/S227*100</f>
        <v>3.374751794990837</v>
      </c>
    </row>
    <row r="228" spans="1:23">
      <c r="A228" s="1" t="s">
        <v>99</v>
      </c>
      <c r="B228" s="3">
        <v>45748</v>
      </c>
      <c r="C228" s="1" t="s">
        <v>24</v>
      </c>
      <c r="D228" s="1">
        <f>IF(C228="East",1,0)</f>
        <v>0</v>
      </c>
      <c r="E228" s="1">
        <f>IF(C228="West",1,0)</f>
        <v>0</v>
      </c>
      <c r="F228" s="1">
        <f>IF(C228="North",1,0)</f>
        <v>0</v>
      </c>
      <c r="G228" s="1" t="s">
        <v>18</v>
      </c>
      <c r="H228" s="1">
        <f>IF(G228="Residential",1,0)</f>
        <v>0</v>
      </c>
      <c r="I228" s="1">
        <f>IF(G228="High Street",1,0)</f>
        <v>1</v>
      </c>
      <c r="J228" s="1">
        <f>IF(G228="Mall",1,0)</f>
        <v>0</v>
      </c>
      <c r="K228" s="1">
        <v>86026.58</v>
      </c>
      <c r="L228" s="1">
        <v>7479</v>
      </c>
      <c r="M228" s="1">
        <v>0.14199999999999999</v>
      </c>
      <c r="N228" s="1">
        <v>20</v>
      </c>
      <c r="O228" s="1">
        <v>89</v>
      </c>
      <c r="P228" s="1">
        <v>0.9</v>
      </c>
      <c r="Q228" s="1">
        <v>0</v>
      </c>
      <c r="R228" s="1">
        <v>3.92</v>
      </c>
      <c r="S228" s="1">
        <v>771129.07</v>
      </c>
      <c r="T228" s="1">
        <v>116851.13</v>
      </c>
      <c r="U228">
        <f>146249.7963 + (33.6835738*L228) + (1.176703422*K228) + (3062.934007*O228) + (-39654.57312*H228) + (-22957.90276*I228) + (-11306.62502*J228)</f>
        <v>749040.23968215671</v>
      </c>
      <c r="V228">
        <f>S228-U228</f>
        <v>22088.83031784324</v>
      </c>
      <c r="W228" s="30">
        <f>V228/S228*100</f>
        <v>2.8644790058093959</v>
      </c>
    </row>
    <row r="229" spans="1:23">
      <c r="A229" s="1" t="s">
        <v>47</v>
      </c>
      <c r="B229" s="3">
        <v>45717</v>
      </c>
      <c r="C229" s="1" t="s">
        <v>15</v>
      </c>
      <c r="D229" s="1">
        <f>IF(C229="East",1,0)</f>
        <v>1</v>
      </c>
      <c r="E229" s="1">
        <f>IF(C229="West",1,0)</f>
        <v>0</v>
      </c>
      <c r="F229" s="1">
        <f>IF(C229="North",1,0)</f>
        <v>0</v>
      </c>
      <c r="G229" s="1" t="s">
        <v>28</v>
      </c>
      <c r="H229" s="1">
        <f>IF(G229="Residential",1,0)</f>
        <v>0</v>
      </c>
      <c r="I229" s="1">
        <f>IF(G229="High Street",1,0)</f>
        <v>0</v>
      </c>
      <c r="J229" s="1">
        <f>IF(G229="Mall",1,0)</f>
        <v>1</v>
      </c>
      <c r="K229" s="1">
        <v>90084.4</v>
      </c>
      <c r="L229" s="1">
        <v>6832</v>
      </c>
      <c r="M229" s="1">
        <v>0.185</v>
      </c>
      <c r="N229" s="1">
        <v>14</v>
      </c>
      <c r="O229" s="1">
        <v>80.5</v>
      </c>
      <c r="P229" s="1">
        <v>0.77</v>
      </c>
      <c r="Q229" s="1">
        <v>1</v>
      </c>
      <c r="R229" s="1">
        <v>4.4000000000000004</v>
      </c>
      <c r="S229" s="1">
        <v>740102.64</v>
      </c>
      <c r="T229" s="1">
        <v>114299.07</v>
      </c>
      <c r="U229">
        <f>146249.7963 + (33.6835738*L229) + (1.176703422*K229) + (3062.934007*O229) + (-39654.57312*H229) + (-22957.90276*I229) + (-11306.62502*J229)</f>
        <v>717638.15679391671</v>
      </c>
      <c r="V229">
        <f>S229-U229</f>
        <v>22464.4832060833</v>
      </c>
      <c r="W229" s="30">
        <f>V229/S229*100</f>
        <v>3.0353199667120903</v>
      </c>
    </row>
    <row r="230" spans="1:23">
      <c r="A230" s="1" t="s">
        <v>33</v>
      </c>
      <c r="B230" s="3">
        <v>45748</v>
      </c>
      <c r="C230" s="1" t="s">
        <v>27</v>
      </c>
      <c r="D230" s="1">
        <f>IF(C230="East",1,0)</f>
        <v>0</v>
      </c>
      <c r="E230" s="1">
        <f>IF(C230="West",1,0)</f>
        <v>1</v>
      </c>
      <c r="F230" s="1">
        <f>IF(C230="North",1,0)</f>
        <v>0</v>
      </c>
      <c r="G230" s="1" t="s">
        <v>16</v>
      </c>
      <c r="H230" s="1">
        <f>IF(G230="Residential",1,0)</f>
        <v>1</v>
      </c>
      <c r="I230" s="1">
        <f>IF(G230="High Street",1,0)</f>
        <v>0</v>
      </c>
      <c r="J230" s="1">
        <f>IF(G230="Mall",1,0)</f>
        <v>0</v>
      </c>
      <c r="K230" s="1">
        <v>42093.84</v>
      </c>
      <c r="L230" s="1">
        <v>4074</v>
      </c>
      <c r="M230" s="1">
        <v>0.155</v>
      </c>
      <c r="N230" s="1">
        <v>15</v>
      </c>
      <c r="O230" s="1">
        <v>88</v>
      </c>
      <c r="P230" s="1">
        <v>9.64</v>
      </c>
      <c r="Q230" s="1">
        <v>0</v>
      </c>
      <c r="R230" s="1">
        <v>3.3</v>
      </c>
      <c r="S230" s="1">
        <v>585365.73</v>
      </c>
      <c r="T230" s="1">
        <v>81011.520000000004</v>
      </c>
      <c r="U230">
        <f>146249.7963 + (33.6835738*L230) + (1.176703422*K230) + (3062.934007*O230) + (-39654.57312*H230) + (-22957.90276*I230) + (-11306.62502*J230)</f>
        <v>562892.26103032043</v>
      </c>
      <c r="V230">
        <f>S230-U230</f>
        <v>22473.468969679554</v>
      </c>
      <c r="W230" s="30">
        <f>V230/S230*100</f>
        <v>3.839218426688483</v>
      </c>
    </row>
    <row r="231" spans="1:23">
      <c r="A231" s="1" t="s">
        <v>88</v>
      </c>
      <c r="B231" s="3">
        <v>45689</v>
      </c>
      <c r="C231" s="1" t="s">
        <v>15</v>
      </c>
      <c r="D231" s="1">
        <f>IF(C231="East",1,0)</f>
        <v>1</v>
      </c>
      <c r="E231" s="1">
        <f>IF(C231="West",1,0)</f>
        <v>0</v>
      </c>
      <c r="F231" s="1">
        <f>IF(C231="North",1,0)</f>
        <v>0</v>
      </c>
      <c r="G231" s="1" t="s">
        <v>18</v>
      </c>
      <c r="H231" s="1">
        <f>IF(G231="Residential",1,0)</f>
        <v>0</v>
      </c>
      <c r="I231" s="1">
        <f>IF(G231="High Street",1,0)</f>
        <v>1</v>
      </c>
      <c r="J231" s="1">
        <f>IF(G231="Mall",1,0)</f>
        <v>0</v>
      </c>
      <c r="K231" s="1">
        <v>73454.539999999994</v>
      </c>
      <c r="L231" s="1">
        <v>8129</v>
      </c>
      <c r="M231" s="1">
        <v>0.21099999999999999</v>
      </c>
      <c r="N231" s="1">
        <v>20</v>
      </c>
      <c r="O231" s="1">
        <v>85.2</v>
      </c>
      <c r="P231" s="1">
        <v>0.88</v>
      </c>
      <c r="Q231" s="1">
        <v>0</v>
      </c>
      <c r="R231" s="1">
        <v>3.7</v>
      </c>
      <c r="S231" s="1">
        <v>767792.94</v>
      </c>
      <c r="T231" s="1">
        <v>96235.77</v>
      </c>
      <c r="U231">
        <f>146249.7963 + (33.6835738*L231) + (1.176703422*K231) + (3062.934007*O231) + (-39654.57312*H231) + (-22957.90276*I231) + (-11306.62502*J231)</f>
        <v>744501.85093603586</v>
      </c>
      <c r="V231">
        <f>S231-U231</f>
        <v>23291.089063964086</v>
      </c>
      <c r="W231" s="30">
        <f>V231/S231*100</f>
        <v>3.0335117517444337</v>
      </c>
    </row>
    <row r="232" spans="1:23">
      <c r="A232" s="1" t="s">
        <v>57</v>
      </c>
      <c r="B232" s="3">
        <v>45689</v>
      </c>
      <c r="C232" s="1" t="s">
        <v>27</v>
      </c>
      <c r="D232" s="1">
        <f>IF(C232="East",1,0)</f>
        <v>0</v>
      </c>
      <c r="E232" s="1">
        <f>IF(C232="West",1,0)</f>
        <v>1</v>
      </c>
      <c r="F232" s="1">
        <f>IF(C232="North",1,0)</f>
        <v>0</v>
      </c>
      <c r="G232" s="1" t="s">
        <v>18</v>
      </c>
      <c r="H232" s="1">
        <f>IF(G232="Residential",1,0)</f>
        <v>0</v>
      </c>
      <c r="I232" s="1">
        <f>IF(G232="High Street",1,0)</f>
        <v>1</v>
      </c>
      <c r="J232" s="1">
        <f>IF(G232="Mall",1,0)</f>
        <v>0</v>
      </c>
      <c r="K232" s="1">
        <v>45706.49</v>
      </c>
      <c r="L232" s="1">
        <v>6704</v>
      </c>
      <c r="M232" s="1">
        <v>3.7999999999999999E-2</v>
      </c>
      <c r="N232" s="1">
        <v>15</v>
      </c>
      <c r="O232" s="1">
        <v>94.2</v>
      </c>
      <c r="P232" s="1">
        <v>2.92</v>
      </c>
      <c r="Q232" s="1">
        <v>0</v>
      </c>
      <c r="R232" s="1">
        <v>4.2</v>
      </c>
      <c r="S232" s="1">
        <v>715097.57</v>
      </c>
      <c r="T232" s="1">
        <v>151875.85999999999</v>
      </c>
      <c r="U232">
        <f>146249.7963 + (33.6835738*L232) + (1.176703422*K232) + (3062.934007*O232) + (-39654.57312*H232) + (-22957.90276*I232) + (-11306.62502*J232)</f>
        <v>691417.93894520868</v>
      </c>
      <c r="V232">
        <f>S232-U232</f>
        <v>23679.631054791273</v>
      </c>
      <c r="W232" s="30">
        <f>V232/S232*100</f>
        <v>3.3113846345179545</v>
      </c>
    </row>
    <row r="233" spans="1:23">
      <c r="A233" s="1" t="s">
        <v>66</v>
      </c>
      <c r="B233" s="3">
        <v>45717</v>
      </c>
      <c r="C233" s="1" t="s">
        <v>27</v>
      </c>
      <c r="D233" s="1">
        <f>IF(C233="East",1,0)</f>
        <v>0</v>
      </c>
      <c r="E233" s="1">
        <f>IF(C233="West",1,0)</f>
        <v>1</v>
      </c>
      <c r="F233" s="1">
        <f>IF(C233="North",1,0)</f>
        <v>0</v>
      </c>
      <c r="G233" s="1" t="s">
        <v>21</v>
      </c>
      <c r="H233" s="1">
        <f>IF(G233="Residential",1,0)</f>
        <v>0</v>
      </c>
      <c r="I233" s="1">
        <f>IF(G233="High Street",1,0)</f>
        <v>0</v>
      </c>
      <c r="J233" s="1">
        <f>IF(G233="Mall",1,0)</f>
        <v>0</v>
      </c>
      <c r="K233" s="1">
        <v>40535.089999999997</v>
      </c>
      <c r="L233" s="1">
        <v>8870</v>
      </c>
      <c r="M233" s="1">
        <v>4.1000000000000002E-2</v>
      </c>
      <c r="N233" s="1">
        <v>21</v>
      </c>
      <c r="O233" s="1">
        <v>86.6</v>
      </c>
      <c r="P233" s="1">
        <v>0.3</v>
      </c>
      <c r="Q233" s="1">
        <v>0</v>
      </c>
      <c r="R233" s="1">
        <v>4.0999999999999996</v>
      </c>
      <c r="S233" s="1">
        <v>781955.52</v>
      </c>
      <c r="T233" s="1">
        <v>152578.71</v>
      </c>
      <c r="U233">
        <f>146249.7963 + (33.6835738*L233) + (1.176703422*K233) + (3062.934007*O233) + (-39654.57312*H233) + (-22957.90276*I233) + (-11306.62502*J233)</f>
        <v>757970.96002627793</v>
      </c>
      <c r="V233">
        <f>S233-U233</f>
        <v>23984.559973722091</v>
      </c>
      <c r="W233" s="30">
        <f>V233/S233*100</f>
        <v>3.0672537452925823</v>
      </c>
    </row>
    <row r="234" spans="1:23">
      <c r="A234" s="1" t="s">
        <v>49</v>
      </c>
      <c r="B234" s="3">
        <v>45658</v>
      </c>
      <c r="C234" s="1" t="s">
        <v>15</v>
      </c>
      <c r="D234" s="1">
        <f>IF(C234="East",1,0)</f>
        <v>1</v>
      </c>
      <c r="E234" s="1">
        <f>IF(C234="West",1,0)</f>
        <v>0</v>
      </c>
      <c r="F234" s="1">
        <f>IF(C234="North",1,0)</f>
        <v>0</v>
      </c>
      <c r="G234" s="1" t="s">
        <v>28</v>
      </c>
      <c r="H234" s="1">
        <f>IF(G234="Residential",1,0)</f>
        <v>0</v>
      </c>
      <c r="I234" s="1">
        <f>IF(G234="High Street",1,0)</f>
        <v>0</v>
      </c>
      <c r="J234" s="1">
        <f>IF(G234="Mall",1,0)</f>
        <v>1</v>
      </c>
      <c r="K234" s="1">
        <v>75265.02</v>
      </c>
      <c r="L234" s="1">
        <v>6975</v>
      </c>
      <c r="M234" s="1">
        <v>0.157</v>
      </c>
      <c r="N234" s="1">
        <v>20</v>
      </c>
      <c r="O234" s="1">
        <v>73.8</v>
      </c>
      <c r="P234" s="1">
        <v>6.35</v>
      </c>
      <c r="Q234" s="1">
        <v>1</v>
      </c>
      <c r="R234" s="1">
        <v>3.8</v>
      </c>
      <c r="S234" s="1">
        <v>709478.39</v>
      </c>
      <c r="T234" s="1">
        <v>71294.27</v>
      </c>
      <c r="U234">
        <f>146249.7963 + (33.6835738*L234) + (1.176703422*K234) + (3062.934007*O234) + (-39654.57312*H234) + (-22957.90276*I234) + (-11306.62502*J234)</f>
        <v>684495.23484249844</v>
      </c>
      <c r="V234">
        <f>S234-U234</f>
        <v>24983.155157501576</v>
      </c>
      <c r="W234" s="30">
        <f>V234/S234*100</f>
        <v>3.5213412430365318</v>
      </c>
    </row>
    <row r="235" spans="1:23">
      <c r="A235" s="1" t="s">
        <v>44</v>
      </c>
      <c r="B235" s="3">
        <v>45717</v>
      </c>
      <c r="C235" s="1" t="s">
        <v>24</v>
      </c>
      <c r="D235" s="1">
        <f>IF(C235="East",1,0)</f>
        <v>0</v>
      </c>
      <c r="E235" s="1">
        <f>IF(C235="West",1,0)</f>
        <v>0</v>
      </c>
      <c r="F235" s="1">
        <f>IF(C235="North",1,0)</f>
        <v>0</v>
      </c>
      <c r="G235" s="1" t="s">
        <v>28</v>
      </c>
      <c r="H235" s="1">
        <f>IF(G235="Residential",1,0)</f>
        <v>0</v>
      </c>
      <c r="I235" s="1">
        <f>IF(G235="High Street",1,0)</f>
        <v>0</v>
      </c>
      <c r="J235" s="1">
        <f>IF(G235="Mall",1,0)</f>
        <v>1</v>
      </c>
      <c r="K235" s="1">
        <v>82116.19</v>
      </c>
      <c r="L235" s="1">
        <v>5988</v>
      </c>
      <c r="M235" s="1">
        <v>0.04</v>
      </c>
      <c r="N235" s="1">
        <v>17</v>
      </c>
      <c r="O235" s="1">
        <v>91.8</v>
      </c>
      <c r="P235" s="1">
        <v>5.75</v>
      </c>
      <c r="Q235" s="1">
        <v>0</v>
      </c>
      <c r="R235" s="1">
        <v>4.7</v>
      </c>
      <c r="S235" s="1">
        <v>739852.58</v>
      </c>
      <c r="T235" s="1">
        <v>129386.43</v>
      </c>
      <c r="U235">
        <f>146249.7963 + (33.6835738*L235) + (1.176703422*K235) + (3062.934007*O235) + (-39654.57312*H235) + (-22957.90276*I235) + (-11306.62502*J235)</f>
        <v>714444.15481160209</v>
      </c>
      <c r="V235">
        <f>S235-U235</f>
        <v>25408.425188397872</v>
      </c>
      <c r="W235" s="30">
        <f>V235/S235*100</f>
        <v>3.4342551307177809</v>
      </c>
    </row>
    <row r="236" spans="1:23">
      <c r="A236" s="1" t="s">
        <v>75</v>
      </c>
      <c r="B236" s="3">
        <v>45748</v>
      </c>
      <c r="C236" s="1" t="s">
        <v>27</v>
      </c>
      <c r="D236" s="1">
        <f>IF(C236="East",1,0)</f>
        <v>0</v>
      </c>
      <c r="E236" s="1">
        <f>IF(C236="West",1,0)</f>
        <v>1</v>
      </c>
      <c r="F236" s="1">
        <f>IF(C236="North",1,0)</f>
        <v>0</v>
      </c>
      <c r="G236" s="1" t="s">
        <v>16</v>
      </c>
      <c r="H236" s="1">
        <f>IF(G236="Residential",1,0)</f>
        <v>1</v>
      </c>
      <c r="I236" s="1">
        <f>IF(G236="High Street",1,0)</f>
        <v>0</v>
      </c>
      <c r="J236" s="1">
        <f>IF(G236="Mall",1,0)</f>
        <v>0</v>
      </c>
      <c r="K236" s="1">
        <v>47391.09</v>
      </c>
      <c r="L236" s="1">
        <v>11224</v>
      </c>
      <c r="M236" s="1">
        <v>0.14699999999999999</v>
      </c>
      <c r="N236" s="1">
        <v>25</v>
      </c>
      <c r="O236" s="1">
        <v>88.4</v>
      </c>
      <c r="P236" s="1">
        <v>2.44</v>
      </c>
      <c r="Q236" s="1">
        <v>0</v>
      </c>
      <c r="R236" s="1">
        <v>4.9000000000000004</v>
      </c>
      <c r="S236" s="1">
        <v>836908.24</v>
      </c>
      <c r="T236" s="1">
        <v>141090.26</v>
      </c>
      <c r="U236">
        <f>146249.7963 + (33.6835738*L236) + (1.176703422*K236) + (3062.934007*O236) + (-39654.57312*H236) + (-22957.90276*I236) + (-11306.62502*J236)</f>
        <v>811188.27950531</v>
      </c>
      <c r="V236">
        <f>S236-U236</f>
        <v>25719.960494689993</v>
      </c>
      <c r="W236" s="30">
        <f>V236/S236*100</f>
        <v>3.0732115261154549</v>
      </c>
    </row>
    <row r="237" spans="1:23">
      <c r="A237" s="1" t="s">
        <v>85</v>
      </c>
      <c r="B237" s="3">
        <v>45717</v>
      </c>
      <c r="C237" s="1" t="s">
        <v>24</v>
      </c>
      <c r="D237" s="1">
        <f>IF(C237="East",1,0)</f>
        <v>0</v>
      </c>
      <c r="E237" s="1">
        <f>IF(C237="West",1,0)</f>
        <v>0</v>
      </c>
      <c r="F237" s="1">
        <f>IF(C237="North",1,0)</f>
        <v>0</v>
      </c>
      <c r="G237" s="1" t="s">
        <v>21</v>
      </c>
      <c r="H237" s="1">
        <f>IF(G237="Residential",1,0)</f>
        <v>0</v>
      </c>
      <c r="I237" s="1">
        <f>IF(G237="High Street",1,0)</f>
        <v>0</v>
      </c>
      <c r="J237" s="1">
        <f>IF(G237="Mall",1,0)</f>
        <v>0</v>
      </c>
      <c r="K237" s="1">
        <v>75412.740000000005</v>
      </c>
      <c r="L237" s="1">
        <v>5641</v>
      </c>
      <c r="M237" s="1">
        <v>5.8999999999999997E-2</v>
      </c>
      <c r="N237" s="1">
        <v>13</v>
      </c>
      <c r="O237" s="1">
        <v>87.9</v>
      </c>
      <c r="P237" s="1">
        <v>0.84</v>
      </c>
      <c r="Q237" s="1">
        <v>0</v>
      </c>
      <c r="R237" s="1">
        <v>3.6</v>
      </c>
      <c r="S237" s="1">
        <v>720079.54</v>
      </c>
      <c r="T237" s="1">
        <v>119499.47</v>
      </c>
      <c r="U237">
        <f>146249.7963 + (33.6835738*L237) + (1.176703422*K237) + (3062.934007*O237) + (-39654.57312*H237) + (-22957.90276*I237) + (-11306.62502*J237)</f>
        <v>694229.16454149631</v>
      </c>
      <c r="V237">
        <f>S237-U237</f>
        <v>25850.375458503724</v>
      </c>
      <c r="W237" s="30">
        <f>V237/S237*100</f>
        <v>3.5899333368788291</v>
      </c>
    </row>
    <row r="238" spans="1:23">
      <c r="A238" s="1" t="s">
        <v>92</v>
      </c>
      <c r="B238" s="3">
        <v>45717</v>
      </c>
      <c r="C238" s="1" t="s">
        <v>24</v>
      </c>
      <c r="D238" s="1">
        <f>IF(C238="East",1,0)</f>
        <v>0</v>
      </c>
      <c r="E238" s="1">
        <f>IF(C238="West",1,0)</f>
        <v>0</v>
      </c>
      <c r="F238" s="1">
        <f>IF(C238="North",1,0)</f>
        <v>0</v>
      </c>
      <c r="G238" s="1" t="s">
        <v>18</v>
      </c>
      <c r="H238" s="1">
        <f>IF(G238="Residential",1,0)</f>
        <v>0</v>
      </c>
      <c r="I238" s="1">
        <f>IF(G238="High Street",1,0)</f>
        <v>1</v>
      </c>
      <c r="J238" s="1">
        <f>IF(G238="Mall",1,0)</f>
        <v>0</v>
      </c>
      <c r="K238" s="1">
        <v>66104.19</v>
      </c>
      <c r="L238" s="1">
        <v>5745</v>
      </c>
      <c r="M238" s="1">
        <v>7.0000000000000007E-2</v>
      </c>
      <c r="N238" s="1">
        <v>17</v>
      </c>
      <c r="O238" s="1">
        <v>95.8</v>
      </c>
      <c r="P238" s="1">
        <v>3.15</v>
      </c>
      <c r="Q238" s="1">
        <v>0</v>
      </c>
      <c r="R238" s="1">
        <v>4</v>
      </c>
      <c r="S238" s="1">
        <v>714083.68</v>
      </c>
      <c r="T238" s="1">
        <v>127231.74</v>
      </c>
      <c r="U238">
        <f>146249.7963 + (33.6835738*L238) + (1.176703422*K238) + (3062.934007*O238) + (-39654.57312*H238) + (-22957.90276*I238) + (-11306.62502*J238)</f>
        <v>688018.12947313813</v>
      </c>
      <c r="V238">
        <f>S238-U238</f>
        <v>26065.550526861916</v>
      </c>
      <c r="W238" s="30">
        <f>V238/S238*100</f>
        <v>3.6502095282253073</v>
      </c>
    </row>
    <row r="239" spans="1:23">
      <c r="A239" s="1" t="s">
        <v>95</v>
      </c>
      <c r="B239" s="3">
        <v>45748</v>
      </c>
      <c r="C239" s="1" t="s">
        <v>27</v>
      </c>
      <c r="D239" s="1">
        <f>IF(C239="East",1,0)</f>
        <v>0</v>
      </c>
      <c r="E239" s="1">
        <f>IF(C239="West",1,0)</f>
        <v>1</v>
      </c>
      <c r="F239" s="1">
        <f>IF(C239="North",1,0)</f>
        <v>0</v>
      </c>
      <c r="G239" s="1" t="s">
        <v>18</v>
      </c>
      <c r="H239" s="1">
        <f>IF(G239="Residential",1,0)</f>
        <v>0</v>
      </c>
      <c r="I239" s="1">
        <f>IF(G239="High Street",1,0)</f>
        <v>1</v>
      </c>
      <c r="J239" s="1">
        <f>IF(G239="Mall",1,0)</f>
        <v>0</v>
      </c>
      <c r="K239" s="1">
        <v>27398.28</v>
      </c>
      <c r="L239" s="1">
        <v>1723</v>
      </c>
      <c r="M239" s="1">
        <v>0.17100000000000001</v>
      </c>
      <c r="N239" s="1">
        <v>9</v>
      </c>
      <c r="O239" s="1">
        <v>81</v>
      </c>
      <c r="P239" s="1">
        <v>0.74</v>
      </c>
      <c r="Q239" s="1">
        <v>0</v>
      </c>
      <c r="R239" s="1">
        <v>4.5999999999999996</v>
      </c>
      <c r="S239" s="1">
        <v>487738.26</v>
      </c>
      <c r="T239" s="1">
        <v>96435.6</v>
      </c>
      <c r="U239">
        <f>146249.7963 + (33.6835738*L239) + (1.176703422*K239) + (3062.934007*O239) + (-39654.57312*H239) + (-22957.90276*I239) + (-11306.62502*J239)</f>
        <v>461665.99559731409</v>
      </c>
      <c r="V239">
        <f>S239-U239</f>
        <v>26072.26440268592</v>
      </c>
      <c r="W239" s="30">
        <f>V239/S239*100</f>
        <v>5.3455442274891292</v>
      </c>
    </row>
    <row r="240" spans="1:23">
      <c r="A240" s="1" t="s">
        <v>80</v>
      </c>
      <c r="B240" s="3">
        <v>45717</v>
      </c>
      <c r="C240" s="1" t="s">
        <v>27</v>
      </c>
      <c r="D240" s="1">
        <f>IF(C240="East",1,0)</f>
        <v>0</v>
      </c>
      <c r="E240" s="1">
        <f>IF(C240="West",1,0)</f>
        <v>1</v>
      </c>
      <c r="F240" s="1">
        <f>IF(C240="North",1,0)</f>
        <v>0</v>
      </c>
      <c r="G240" s="1" t="s">
        <v>16</v>
      </c>
      <c r="H240" s="1">
        <f>IF(G240="Residential",1,0)</f>
        <v>1</v>
      </c>
      <c r="I240" s="1">
        <f>IF(G240="High Street",1,0)</f>
        <v>0</v>
      </c>
      <c r="J240" s="1">
        <f>IF(G240="Mall",1,0)</f>
        <v>0</v>
      </c>
      <c r="K240" s="1">
        <v>62582.71</v>
      </c>
      <c r="L240" s="1">
        <v>5479</v>
      </c>
      <c r="M240" s="1">
        <v>4.8000000000000001E-2</v>
      </c>
      <c r="N240" s="1">
        <v>16</v>
      </c>
      <c r="O240" s="1">
        <v>81.2</v>
      </c>
      <c r="P240" s="1">
        <v>1.46</v>
      </c>
      <c r="Q240" s="1">
        <v>0</v>
      </c>
      <c r="R240" s="1">
        <v>4.5</v>
      </c>
      <c r="S240" s="1">
        <v>640666.53</v>
      </c>
      <c r="T240" s="1">
        <v>134919.16</v>
      </c>
      <c r="U240">
        <f>146249.7963 + (33.6835738*L240) + (1.176703422*K240) + (3062.934007*O240) + (-39654.57312*H240) + (-22957.90276*I240) + (-11306.62502*J240)</f>
        <v>613499.05441363365</v>
      </c>
      <c r="V240">
        <f>S240-U240</f>
        <v>27167.475586366374</v>
      </c>
      <c r="W240" s="30">
        <f>V240/S240*100</f>
        <v>4.2405017765429971</v>
      </c>
    </row>
    <row r="241" spans="1:23">
      <c r="A241" s="1" t="s">
        <v>56</v>
      </c>
      <c r="B241" s="3">
        <v>45748</v>
      </c>
      <c r="C241" s="1" t="s">
        <v>24</v>
      </c>
      <c r="D241" s="1">
        <f>IF(C241="East",1,0)</f>
        <v>0</v>
      </c>
      <c r="E241" s="1">
        <f>IF(C241="West",1,0)</f>
        <v>0</v>
      </c>
      <c r="F241" s="1">
        <f>IF(C241="North",1,0)</f>
        <v>0</v>
      </c>
      <c r="G241" s="1" t="s">
        <v>16</v>
      </c>
      <c r="H241" s="1">
        <f>IF(G241="Residential",1,0)</f>
        <v>1</v>
      </c>
      <c r="I241" s="1">
        <f>IF(G241="High Street",1,0)</f>
        <v>0</v>
      </c>
      <c r="J241" s="1">
        <f>IF(G241="Mall",1,0)</f>
        <v>0</v>
      </c>
      <c r="K241" s="1">
        <v>44211.95</v>
      </c>
      <c r="L241" s="1">
        <v>5465</v>
      </c>
      <c r="M241" s="1">
        <v>0.187</v>
      </c>
      <c r="N241" s="1">
        <v>12</v>
      </c>
      <c r="O241" s="1">
        <v>90</v>
      </c>
      <c r="P241" s="1">
        <v>2.89</v>
      </c>
      <c r="Q241" s="1">
        <v>0</v>
      </c>
      <c r="R241" s="1">
        <v>3.6</v>
      </c>
      <c r="S241" s="1">
        <v>646559.71</v>
      </c>
      <c r="T241" s="1">
        <v>97981.75</v>
      </c>
      <c r="U241">
        <f>146249.7963 + (33.6835738*L241) + (1.176703422*K241) + (3062.934007*O241) + (-39654.57312*H241) + (-22957.90276*I241) + (-11306.62502*J241)</f>
        <v>618364.36748529284</v>
      </c>
      <c r="V241">
        <f>S241-U241</f>
        <v>28195.342514707125</v>
      </c>
      <c r="W241" s="30">
        <f>V241/S241*100</f>
        <v>4.3608257796804457</v>
      </c>
    </row>
    <row r="242" spans="1:23">
      <c r="A242" s="1" t="s">
        <v>59</v>
      </c>
      <c r="B242" s="3">
        <v>45717</v>
      </c>
      <c r="C242" s="1" t="s">
        <v>24</v>
      </c>
      <c r="D242" s="1">
        <f>IF(C242="East",1,0)</f>
        <v>0</v>
      </c>
      <c r="E242" s="1">
        <f>IF(C242="West",1,0)</f>
        <v>0</v>
      </c>
      <c r="F242" s="1">
        <f>IF(C242="North",1,0)</f>
        <v>0</v>
      </c>
      <c r="G242" s="1" t="s">
        <v>28</v>
      </c>
      <c r="H242" s="1">
        <f>IF(G242="Residential",1,0)</f>
        <v>0</v>
      </c>
      <c r="I242" s="1">
        <f>IF(G242="High Street",1,0)</f>
        <v>0</v>
      </c>
      <c r="J242" s="1">
        <f>IF(G242="Mall",1,0)</f>
        <v>1</v>
      </c>
      <c r="K242" s="1">
        <v>47093.55</v>
      </c>
      <c r="L242" s="1">
        <v>5550</v>
      </c>
      <c r="M242" s="1">
        <v>0.1</v>
      </c>
      <c r="N242" s="1">
        <v>12</v>
      </c>
      <c r="O242" s="1">
        <v>95</v>
      </c>
      <c r="P242" s="1">
        <v>2.33</v>
      </c>
      <c r="Q242" s="1">
        <v>1</v>
      </c>
      <c r="R242" s="1">
        <v>3.7</v>
      </c>
      <c r="S242" s="1">
        <v>696744.15</v>
      </c>
      <c r="T242" s="1">
        <v>152230.09</v>
      </c>
      <c r="U242">
        <f>146249.7963 + (33.6835738*L242) + (1.176703422*K242) + (3062.934007*O242) + (-39654.57312*H242) + (-22957.90276*I242) + (-11306.62502*J242)</f>
        <v>668280.877974128</v>
      </c>
      <c r="V242">
        <f>S242-U242</f>
        <v>28463.272025872022</v>
      </c>
      <c r="W242" s="30">
        <f>V242/S242*100</f>
        <v>4.0851827784807409</v>
      </c>
    </row>
    <row r="243" spans="1:23">
      <c r="A243" s="1" t="s">
        <v>100</v>
      </c>
      <c r="B243" s="3">
        <v>45717</v>
      </c>
      <c r="C243" s="1" t="s">
        <v>20</v>
      </c>
      <c r="D243" s="1">
        <f>IF(C243="East",1,0)</f>
        <v>0</v>
      </c>
      <c r="E243" s="1">
        <f>IF(C243="West",1,0)</f>
        <v>0</v>
      </c>
      <c r="F243" s="1">
        <f>IF(C243="North",1,0)</f>
        <v>1</v>
      </c>
      <c r="G243" s="1" t="s">
        <v>16</v>
      </c>
      <c r="H243" s="1">
        <f>IF(G243="Residential",1,0)</f>
        <v>1</v>
      </c>
      <c r="I243" s="1">
        <f>IF(G243="High Street",1,0)</f>
        <v>0</v>
      </c>
      <c r="J243" s="1">
        <f>IF(G243="Mall",1,0)</f>
        <v>0</v>
      </c>
      <c r="K243" s="1">
        <v>62507.16</v>
      </c>
      <c r="L243" s="1">
        <v>6000</v>
      </c>
      <c r="M243" s="1">
        <v>9.0999999999999998E-2</v>
      </c>
      <c r="N243" s="1">
        <v>14</v>
      </c>
      <c r="O243" s="1">
        <v>98.2</v>
      </c>
      <c r="P243" s="1">
        <v>4.38</v>
      </c>
      <c r="Q243" s="1">
        <v>1</v>
      </c>
      <c r="R243" s="1">
        <v>3.9</v>
      </c>
      <c r="S243" s="1">
        <v>712375.77</v>
      </c>
      <c r="T243" s="1">
        <v>104171.53</v>
      </c>
      <c r="U243">
        <f>146249.7963 + (33.6835738*L243) + (1.176703422*K243) + (3062.934007*O243) + (-39654.57312*H243) + (-22957.90276*I243) + (-11306.62502*J243)</f>
        <v>683029.17453890166</v>
      </c>
      <c r="V243">
        <f>S243-U243</f>
        <v>29346.595461098361</v>
      </c>
      <c r="W243" s="30">
        <f>V243/S243*100</f>
        <v>4.1195386896859727</v>
      </c>
    </row>
    <row r="244" spans="1:23">
      <c r="A244" s="1" t="s">
        <v>76</v>
      </c>
      <c r="B244" s="3">
        <v>45717</v>
      </c>
      <c r="C244" s="1" t="s">
        <v>20</v>
      </c>
      <c r="D244" s="1">
        <f>IF(C244="East",1,0)</f>
        <v>0</v>
      </c>
      <c r="E244" s="1">
        <f>IF(C244="West",1,0)</f>
        <v>0</v>
      </c>
      <c r="F244" s="1">
        <f>IF(C244="North",1,0)</f>
        <v>1</v>
      </c>
      <c r="G244" s="1" t="s">
        <v>21</v>
      </c>
      <c r="H244" s="1">
        <f>IF(G244="Residential",1,0)</f>
        <v>0</v>
      </c>
      <c r="I244" s="1">
        <f>IF(G244="High Street",1,0)</f>
        <v>0</v>
      </c>
      <c r="J244" s="1">
        <f>IF(G244="Mall",1,0)</f>
        <v>0</v>
      </c>
      <c r="K244" s="1">
        <v>58785.33</v>
      </c>
      <c r="L244" s="1">
        <v>4467</v>
      </c>
      <c r="M244" s="1">
        <v>0.22900000000000001</v>
      </c>
      <c r="N244" s="1">
        <v>14</v>
      </c>
      <c r="O244" s="1">
        <v>90.7</v>
      </c>
      <c r="P244" s="1">
        <v>1.92</v>
      </c>
      <c r="Q244" s="1">
        <v>0</v>
      </c>
      <c r="R244" s="1">
        <v>3.7</v>
      </c>
      <c r="S244" s="1">
        <v>673348.56</v>
      </c>
      <c r="T244" s="1">
        <v>69464.59</v>
      </c>
      <c r="U244">
        <f>146249.7963 + (33.6835738*L244) + (1.176703422*K244) + (3062.934007*O244) + (-39654.57312*H244) + (-22957.90276*I244) + (-11306.62502*J244)</f>
        <v>643695.33387389919</v>
      </c>
      <c r="V244">
        <f>S244-U244</f>
        <v>29653.226126100868</v>
      </c>
      <c r="W244" s="30">
        <f>V244/S244*100</f>
        <v>4.4038448862355724</v>
      </c>
    </row>
    <row r="245" spans="1:23">
      <c r="A245" s="1" t="s">
        <v>44</v>
      </c>
      <c r="B245" s="3">
        <v>45748</v>
      </c>
      <c r="C245" s="1" t="s">
        <v>24</v>
      </c>
      <c r="D245" s="1">
        <f>IF(C245="East",1,0)</f>
        <v>0</v>
      </c>
      <c r="E245" s="1">
        <f>IF(C245="West",1,0)</f>
        <v>0</v>
      </c>
      <c r="F245" s="1">
        <f>IF(C245="North",1,0)</f>
        <v>0</v>
      </c>
      <c r="G245" s="1" t="s">
        <v>28</v>
      </c>
      <c r="H245" s="1">
        <f>IF(G245="Residential",1,0)</f>
        <v>0</v>
      </c>
      <c r="I245" s="1">
        <f>IF(G245="High Street",1,0)</f>
        <v>0</v>
      </c>
      <c r="J245" s="1">
        <f>IF(G245="Mall",1,0)</f>
        <v>1</v>
      </c>
      <c r="K245" s="1">
        <v>31207.51</v>
      </c>
      <c r="L245" s="1">
        <v>3701</v>
      </c>
      <c r="M245" s="1">
        <v>4.2999999999999997E-2</v>
      </c>
      <c r="N245" s="1">
        <v>11</v>
      </c>
      <c r="O245" s="1">
        <v>84.7</v>
      </c>
      <c r="P245" s="1">
        <v>0.33</v>
      </c>
      <c r="Q245" s="1">
        <v>0</v>
      </c>
      <c r="R245" s="1">
        <v>4.3</v>
      </c>
      <c r="S245" s="1">
        <v>586307.22</v>
      </c>
      <c r="T245" s="1">
        <v>73927.850000000006</v>
      </c>
      <c r="U245">
        <f>146249.7963 + (33.6835738*L245) + (1.176703422*K245) + (3062.934007*O245) + (-39654.57312*H245) + (-22957.90276*I245) + (-11306.62502*J245)</f>
        <v>555758.57211579918</v>
      </c>
      <c r="V245">
        <f>S245-U245</f>
        <v>30548.647884200793</v>
      </c>
      <c r="W245" s="30">
        <f>V245/S245*100</f>
        <v>5.2103482341903948</v>
      </c>
    </row>
    <row r="246" spans="1:23">
      <c r="A246" s="1" t="s">
        <v>88</v>
      </c>
      <c r="B246" s="3">
        <v>45748</v>
      </c>
      <c r="C246" s="1" t="s">
        <v>15</v>
      </c>
      <c r="D246" s="1">
        <f>IF(C246="East",1,0)</f>
        <v>1</v>
      </c>
      <c r="E246" s="1">
        <f>IF(C246="West",1,0)</f>
        <v>0</v>
      </c>
      <c r="F246" s="1">
        <f>IF(C246="North",1,0)</f>
        <v>0</v>
      </c>
      <c r="G246" s="1" t="s">
        <v>18</v>
      </c>
      <c r="H246" s="1">
        <f>IF(G246="Residential",1,0)</f>
        <v>0</v>
      </c>
      <c r="I246" s="1">
        <f>IF(G246="High Street",1,0)</f>
        <v>1</v>
      </c>
      <c r="J246" s="1">
        <f>IF(G246="Mall",1,0)</f>
        <v>0</v>
      </c>
      <c r="K246" s="1">
        <v>67722.289999999994</v>
      </c>
      <c r="L246" s="1">
        <v>7240</v>
      </c>
      <c r="M246" s="1">
        <v>2.5999999999999999E-2</v>
      </c>
      <c r="N246" s="1">
        <v>15</v>
      </c>
      <c r="O246" s="1">
        <v>92.9</v>
      </c>
      <c r="P246" s="1">
        <v>0.28999999999999998</v>
      </c>
      <c r="Q246" s="1">
        <v>0</v>
      </c>
      <c r="R246" s="1">
        <v>3.5</v>
      </c>
      <c r="S246" s="1">
        <v>762328.31</v>
      </c>
      <c r="T246" s="1">
        <v>159158.19</v>
      </c>
      <c r="U246">
        <f>146249.7963 + (33.6835738*L246) + (1.176703422*K246) + (3062.934007*O246) + (-39654.57312*H246) + (-22957.90276*I246) + (-11306.62502*J246)</f>
        <v>731396.58749097632</v>
      </c>
      <c r="V246">
        <f>S246-U246</f>
        <v>30931.722509023733</v>
      </c>
      <c r="W246" s="30">
        <f>V246/S246*100</f>
        <v>4.0575329688364494</v>
      </c>
    </row>
    <row r="247" spans="1:23">
      <c r="A247" s="1" t="s">
        <v>94</v>
      </c>
      <c r="B247" s="3">
        <v>45658</v>
      </c>
      <c r="C247" s="1" t="s">
        <v>15</v>
      </c>
      <c r="D247" s="1">
        <f>IF(C247="East",1,0)</f>
        <v>1</v>
      </c>
      <c r="E247" s="1">
        <f>IF(C247="West",1,0)</f>
        <v>0</v>
      </c>
      <c r="F247" s="1">
        <f>IF(C247="North",1,0)</f>
        <v>0</v>
      </c>
      <c r="G247" s="1" t="s">
        <v>16</v>
      </c>
      <c r="H247" s="1">
        <f>IF(G247="Residential",1,0)</f>
        <v>1</v>
      </c>
      <c r="I247" s="1">
        <f>IF(G247="High Street",1,0)</f>
        <v>0</v>
      </c>
      <c r="J247" s="1">
        <f>IF(G247="Mall",1,0)</f>
        <v>0</v>
      </c>
      <c r="K247" s="1">
        <v>70012.41</v>
      </c>
      <c r="L247" s="1">
        <v>8484</v>
      </c>
      <c r="M247" s="1">
        <v>0.27300000000000002</v>
      </c>
      <c r="N247" s="1">
        <v>23</v>
      </c>
      <c r="O247" s="1">
        <v>72.900000000000006</v>
      </c>
      <c r="P247" s="1">
        <v>3.34</v>
      </c>
      <c r="Q247" s="1">
        <v>0</v>
      </c>
      <c r="R247" s="1">
        <v>3.7</v>
      </c>
      <c r="S247" s="1">
        <v>729424.42</v>
      </c>
      <c r="T247" s="1">
        <v>75592.28</v>
      </c>
      <c r="U247">
        <f>146249.7963 + (33.6835738*L247) + (1.176703422*K247) + (3062.934007*O247) + (-39654.57312*H247) + (-22957.90276*I247) + (-11306.62502*J247)</f>
        <v>698038.39483896701</v>
      </c>
      <c r="V247">
        <f>S247-U247</f>
        <v>31386.025161033031</v>
      </c>
      <c r="W247" s="30">
        <f>V247/S247*100</f>
        <v>4.3028481499197726</v>
      </c>
    </row>
    <row r="248" spans="1:23">
      <c r="A248" s="1" t="s">
        <v>39</v>
      </c>
      <c r="B248" s="3">
        <v>45748</v>
      </c>
      <c r="C248" s="1" t="s">
        <v>15</v>
      </c>
      <c r="D248" s="1">
        <f>IF(C248="East",1,0)</f>
        <v>1</v>
      </c>
      <c r="E248" s="1">
        <f>IF(C248="West",1,0)</f>
        <v>0</v>
      </c>
      <c r="F248" s="1">
        <f>IF(C248="North",1,0)</f>
        <v>0</v>
      </c>
      <c r="G248" s="1" t="s">
        <v>18</v>
      </c>
      <c r="H248" s="1">
        <f>IF(G248="Residential",1,0)</f>
        <v>0</v>
      </c>
      <c r="I248" s="1">
        <f>IF(G248="High Street",1,0)</f>
        <v>1</v>
      </c>
      <c r="J248" s="1">
        <f>IF(G248="Mall",1,0)</f>
        <v>0</v>
      </c>
      <c r="K248" s="1">
        <v>55081.16</v>
      </c>
      <c r="L248" s="1">
        <v>5485</v>
      </c>
      <c r="M248" s="1">
        <v>3.5999999999999997E-2</v>
      </c>
      <c r="N248" s="1">
        <v>12</v>
      </c>
      <c r="O248" s="1">
        <v>88</v>
      </c>
      <c r="P248" s="1">
        <v>3.36</v>
      </c>
      <c r="Q248" s="1">
        <v>0</v>
      </c>
      <c r="R248" s="1">
        <v>3.5</v>
      </c>
      <c r="S248" s="1">
        <v>674774.09</v>
      </c>
      <c r="T248" s="1">
        <v>141917.59</v>
      </c>
      <c r="U248">
        <f>146249.7963 + (33.6835738*L248) + (1.176703422*K248) + (3062.934007*O248) + (-39654.57312*H248) + (-22957.90276*I248) + (-11306.62502*J248)</f>
        <v>642398.67790872953</v>
      </c>
      <c r="V248">
        <f>S248-U248</f>
        <v>32375.412091270438</v>
      </c>
      <c r="W248" s="30">
        <f>V248/S248*100</f>
        <v>4.7979631362654187</v>
      </c>
    </row>
    <row r="249" spans="1:23">
      <c r="A249" s="1" t="s">
        <v>34</v>
      </c>
      <c r="B249" s="3">
        <v>45748</v>
      </c>
      <c r="C249" s="1" t="s">
        <v>20</v>
      </c>
      <c r="D249" s="1">
        <f>IF(C249="East",1,0)</f>
        <v>0</v>
      </c>
      <c r="E249" s="1">
        <f>IF(C249="West",1,0)</f>
        <v>0</v>
      </c>
      <c r="F249" s="1">
        <f>IF(C249="North",1,0)</f>
        <v>1</v>
      </c>
      <c r="G249" s="1" t="s">
        <v>28</v>
      </c>
      <c r="H249" s="1">
        <f>IF(G249="Residential",1,0)</f>
        <v>0</v>
      </c>
      <c r="I249" s="1">
        <f>IF(G249="High Street",1,0)</f>
        <v>0</v>
      </c>
      <c r="J249" s="1">
        <f>IF(G249="Mall",1,0)</f>
        <v>1</v>
      </c>
      <c r="K249" s="1">
        <v>65312.49</v>
      </c>
      <c r="L249" s="1">
        <v>7189</v>
      </c>
      <c r="M249" s="1">
        <v>0.05</v>
      </c>
      <c r="N249" s="1">
        <v>19</v>
      </c>
      <c r="O249" s="1">
        <v>93.7</v>
      </c>
      <c r="P249" s="1">
        <v>7.16</v>
      </c>
      <c r="Q249" s="1">
        <v>0</v>
      </c>
      <c r="R249" s="1">
        <v>4.5999999999999996</v>
      </c>
      <c r="S249" s="1">
        <v>773815.14</v>
      </c>
      <c r="T249" s="1">
        <v>133948.39000000001</v>
      </c>
      <c r="U249">
        <f>146249.7963 + (33.6835738*L249) + (1.176703422*K249) + (3062.934007*O249) + (-39654.57312*H249) + (-22957.90276*I249) + (-11306.62502*J249)</f>
        <v>740944.73026644078</v>
      </c>
      <c r="V249">
        <f>S249-U249</f>
        <v>32870.409733559238</v>
      </c>
      <c r="W249" s="30">
        <f>V249/S249*100</f>
        <v>4.2478375046473289</v>
      </c>
    </row>
    <row r="250" spans="1:23">
      <c r="A250" s="1" t="s">
        <v>100</v>
      </c>
      <c r="B250" s="3">
        <v>45658</v>
      </c>
      <c r="C250" s="1" t="s">
        <v>20</v>
      </c>
      <c r="D250" s="1">
        <f>IF(C250="East",1,0)</f>
        <v>0</v>
      </c>
      <c r="E250" s="1">
        <f>IF(C250="West",1,0)</f>
        <v>0</v>
      </c>
      <c r="F250" s="1">
        <f>IF(C250="North",1,0)</f>
        <v>1</v>
      </c>
      <c r="G250" s="1" t="s">
        <v>16</v>
      </c>
      <c r="H250" s="1">
        <f>IF(G250="Residential",1,0)</f>
        <v>1</v>
      </c>
      <c r="I250" s="1">
        <f>IF(G250="High Street",1,0)</f>
        <v>0</v>
      </c>
      <c r="J250" s="1">
        <f>IF(G250="Mall",1,0)</f>
        <v>0</v>
      </c>
      <c r="K250" s="1">
        <v>78967.520000000004</v>
      </c>
      <c r="L250" s="1">
        <v>6164</v>
      </c>
      <c r="M250" s="1">
        <v>2.1000000000000001E-2</v>
      </c>
      <c r="N250" s="1">
        <v>16</v>
      </c>
      <c r="O250" s="1">
        <v>85.5</v>
      </c>
      <c r="P250" s="1">
        <v>0.2</v>
      </c>
      <c r="Q250" s="1">
        <v>0</v>
      </c>
      <c r="R250" s="1">
        <v>3.4</v>
      </c>
      <c r="S250" s="1">
        <v>702052.47</v>
      </c>
      <c r="T250" s="1">
        <v>121732.51</v>
      </c>
      <c r="U250">
        <f>146249.7963 + (33.6835738*L250) + (1.176703422*K250) + (3062.934007*O250) + (-39654.57312*H250) + (-22957.90276*I250) + (-11306.62502*J250)</f>
        <v>669022.98069255345</v>
      </c>
      <c r="V250">
        <f>S250-U250</f>
        <v>33029.489307446522</v>
      </c>
      <c r="W250" s="30">
        <f>V250/S250*100</f>
        <v>4.7047038104497414</v>
      </c>
    </row>
    <row r="251" spans="1:23">
      <c r="A251" s="1" t="s">
        <v>89</v>
      </c>
      <c r="B251" s="3">
        <v>45689</v>
      </c>
      <c r="C251" s="1" t="s">
        <v>15</v>
      </c>
      <c r="D251" s="1">
        <f>IF(C251="East",1,0)</f>
        <v>1</v>
      </c>
      <c r="E251" s="1">
        <f>IF(C251="West",1,0)</f>
        <v>0</v>
      </c>
      <c r="F251" s="1">
        <f>IF(C251="North",1,0)</f>
        <v>0</v>
      </c>
      <c r="G251" s="1" t="s">
        <v>28</v>
      </c>
      <c r="H251" s="1">
        <f>IF(G251="Residential",1,0)</f>
        <v>0</v>
      </c>
      <c r="I251" s="1">
        <f>IF(G251="High Street",1,0)</f>
        <v>0</v>
      </c>
      <c r="J251" s="1">
        <f>IF(G251="Mall",1,0)</f>
        <v>1</v>
      </c>
      <c r="K251" s="1">
        <v>23914.97</v>
      </c>
      <c r="L251" s="1">
        <v>8018</v>
      </c>
      <c r="M251" s="1">
        <v>0.13900000000000001</v>
      </c>
      <c r="N251" s="1">
        <v>20</v>
      </c>
      <c r="O251" s="1">
        <v>89</v>
      </c>
      <c r="P251" s="1">
        <v>0.2</v>
      </c>
      <c r="Q251" s="1">
        <v>0</v>
      </c>
      <c r="R251" s="1">
        <v>3.5</v>
      </c>
      <c r="S251" s="1">
        <v>739374.56</v>
      </c>
      <c r="T251" s="1">
        <v>121032.29</v>
      </c>
      <c r="U251">
        <f>146249.7963 + (33.6835738*L251) + (1.176703422*K251) + (3062.934007*O251) + (-39654.57312*H251) + (-22957.90276*I251) + (-11306.62502*J251)</f>
        <v>705760.01966742717</v>
      </c>
      <c r="V251">
        <f>S251-U251</f>
        <v>33614.540332572884</v>
      </c>
      <c r="W251" s="30">
        <f>V251/S251*100</f>
        <v>4.5463479745060313</v>
      </c>
    </row>
    <row r="252" spans="1:23">
      <c r="A252" s="1" t="s">
        <v>100</v>
      </c>
      <c r="B252" s="3">
        <v>45748</v>
      </c>
      <c r="C252" s="1" t="s">
        <v>20</v>
      </c>
      <c r="D252" s="1">
        <f>IF(C252="East",1,0)</f>
        <v>0</v>
      </c>
      <c r="E252" s="1">
        <f>IF(C252="West",1,0)</f>
        <v>0</v>
      </c>
      <c r="F252" s="1">
        <f>IF(C252="North",1,0)</f>
        <v>1</v>
      </c>
      <c r="G252" s="1" t="s">
        <v>16</v>
      </c>
      <c r="H252" s="1">
        <f>IF(G252="Residential",1,0)</f>
        <v>1</v>
      </c>
      <c r="I252" s="1">
        <f>IF(G252="High Street",1,0)</f>
        <v>0</v>
      </c>
      <c r="J252" s="1">
        <f>IF(G252="Mall",1,0)</f>
        <v>0</v>
      </c>
      <c r="K252" s="1">
        <v>66456.28</v>
      </c>
      <c r="L252" s="1">
        <v>9967</v>
      </c>
      <c r="M252" s="1">
        <v>0.108</v>
      </c>
      <c r="N252" s="1">
        <v>20</v>
      </c>
      <c r="O252" s="1">
        <v>94.7</v>
      </c>
      <c r="P252" s="1">
        <v>4.4800000000000004</v>
      </c>
      <c r="Q252" s="1">
        <v>0</v>
      </c>
      <c r="R252" s="1">
        <v>4.2</v>
      </c>
      <c r="S252" s="1">
        <v>844710.67</v>
      </c>
      <c r="T252" s="1">
        <v>137140.18</v>
      </c>
      <c r="U252">
        <f>146249.7963 + (33.6835738*L252) + (1.176703422*K252) + (3062.934007*O252) + (-39654.57312*H252) + (-22957.90276*I252) + (-11306.62502*J252)</f>
        <v>810578.5857968902</v>
      </c>
      <c r="V252">
        <f>S252-U252</f>
        <v>34132.084203109844</v>
      </c>
      <c r="W252" s="30">
        <f>V252/S252*100</f>
        <v>4.0406834452688809</v>
      </c>
    </row>
    <row r="253" spans="1:23">
      <c r="A253" s="1" t="s">
        <v>52</v>
      </c>
      <c r="B253" s="3">
        <v>45689</v>
      </c>
      <c r="C253" s="1" t="s">
        <v>20</v>
      </c>
      <c r="D253" s="1">
        <f>IF(C253="East",1,0)</f>
        <v>0</v>
      </c>
      <c r="E253" s="1">
        <f>IF(C253="West",1,0)</f>
        <v>0</v>
      </c>
      <c r="F253" s="1">
        <f>IF(C253="North",1,0)</f>
        <v>1</v>
      </c>
      <c r="G253" s="1" t="s">
        <v>18</v>
      </c>
      <c r="H253" s="1">
        <f>IF(G253="Residential",1,0)</f>
        <v>0</v>
      </c>
      <c r="I253" s="1">
        <f>IF(G253="High Street",1,0)</f>
        <v>1</v>
      </c>
      <c r="J253" s="1">
        <f>IF(G253="Mall",1,0)</f>
        <v>0</v>
      </c>
      <c r="K253" s="1">
        <v>83044.17</v>
      </c>
      <c r="L253" s="1">
        <v>3694</v>
      </c>
      <c r="M253" s="1">
        <v>0</v>
      </c>
      <c r="N253" s="1">
        <v>14</v>
      </c>
      <c r="O253" s="1">
        <v>89.4</v>
      </c>
      <c r="P253" s="1">
        <v>2.2000000000000002</v>
      </c>
      <c r="Q253" s="1">
        <v>0</v>
      </c>
      <c r="R253" s="1">
        <v>3.7</v>
      </c>
      <c r="S253" s="1">
        <v>654317.09</v>
      </c>
      <c r="T253" s="1">
        <v>121446.89</v>
      </c>
      <c r="U253">
        <f>146249.7963 + (33.6835738*L253) + (1.176703422*K253) + (3062.934007*O253) + (-39654.57312*H253) + (-22957.90276*I253) + (-11306.62502*J253)</f>
        <v>619263.67439914984</v>
      </c>
      <c r="V253">
        <f>S253-U253</f>
        <v>35053.41560085013</v>
      </c>
      <c r="W253" s="30">
        <f>V253/S253*100</f>
        <v>5.3572520321683994</v>
      </c>
    </row>
    <row r="254" spans="1:23">
      <c r="A254" s="1" t="s">
        <v>25</v>
      </c>
      <c r="B254" s="3">
        <v>45717</v>
      </c>
      <c r="C254" s="1" t="s">
        <v>20</v>
      </c>
      <c r="D254" s="1">
        <f>IF(C254="East",1,0)</f>
        <v>0</v>
      </c>
      <c r="E254" s="1">
        <f>IF(C254="West",1,0)</f>
        <v>0</v>
      </c>
      <c r="F254" s="1">
        <f>IF(C254="North",1,0)</f>
        <v>1</v>
      </c>
      <c r="G254" s="1" t="s">
        <v>16</v>
      </c>
      <c r="H254" s="1">
        <f>IF(G254="Residential",1,0)</f>
        <v>1</v>
      </c>
      <c r="I254" s="1">
        <f>IF(G254="High Street",1,0)</f>
        <v>0</v>
      </c>
      <c r="J254" s="1">
        <f>IF(G254="Mall",1,0)</f>
        <v>0</v>
      </c>
      <c r="K254" s="1">
        <v>42267.37</v>
      </c>
      <c r="L254" s="1">
        <v>3364</v>
      </c>
      <c r="M254" s="1">
        <v>0.16</v>
      </c>
      <c r="N254" s="1">
        <v>13</v>
      </c>
      <c r="O254" s="1">
        <v>82</v>
      </c>
      <c r="P254" s="1">
        <v>1.61</v>
      </c>
      <c r="Q254" s="1">
        <v>1</v>
      </c>
      <c r="R254" s="1">
        <v>4.5999999999999996</v>
      </c>
      <c r="S254" s="1">
        <v>555929.4</v>
      </c>
      <c r="T254" s="1">
        <v>115201.76</v>
      </c>
      <c r="U254">
        <f>146249.7963 + (33.6835738*L254) + (1.176703422*K254) + (3062.934007*O254) + (-39654.57312*H254) + (-22957.90276*I254) + (-11306.62502*J254)</f>
        <v>520803.51293514011</v>
      </c>
      <c r="V254">
        <f>S254-U254</f>
        <v>35125.887064859911</v>
      </c>
      <c r="W254" s="30">
        <f>V254/S254*100</f>
        <v>6.3184078886383608</v>
      </c>
    </row>
    <row r="255" spans="1:23">
      <c r="A255" s="1" t="s">
        <v>47</v>
      </c>
      <c r="B255" s="3">
        <v>45658</v>
      </c>
      <c r="C255" s="1" t="s">
        <v>15</v>
      </c>
      <c r="D255" s="1">
        <f>IF(C255="East",1,0)</f>
        <v>1</v>
      </c>
      <c r="E255" s="1">
        <f>IF(C255="West",1,0)</f>
        <v>0</v>
      </c>
      <c r="F255" s="1">
        <f>IF(C255="North",1,0)</f>
        <v>0</v>
      </c>
      <c r="G255" s="1" t="s">
        <v>28</v>
      </c>
      <c r="H255" s="1">
        <f>IF(G255="Residential",1,0)</f>
        <v>0</v>
      </c>
      <c r="I255" s="1">
        <f>IF(G255="High Street",1,0)</f>
        <v>0</v>
      </c>
      <c r="J255" s="1">
        <f>IF(G255="Mall",1,0)</f>
        <v>1</v>
      </c>
      <c r="K255" s="1">
        <v>53084.76</v>
      </c>
      <c r="L255" s="1">
        <v>3642</v>
      </c>
      <c r="M255" s="1">
        <v>0.15</v>
      </c>
      <c r="N255" s="1">
        <v>12</v>
      </c>
      <c r="O255" s="1">
        <v>91.4</v>
      </c>
      <c r="P255" s="1">
        <v>0.2</v>
      </c>
      <c r="Q255" s="1">
        <v>0</v>
      </c>
      <c r="R255" s="1">
        <v>4.4000000000000004</v>
      </c>
      <c r="S255" s="1">
        <v>635181.35</v>
      </c>
      <c r="T255" s="1">
        <v>83341.25</v>
      </c>
      <c r="U255">
        <f>146249.7963 + (33.6835738*L255) + (1.176703422*K255) + (3062.934007*O255) + (-39654.57312*H255) + (-22957.90276*I255) + (-11306.62502*J255)</f>
        <v>600035.9340474488</v>
      </c>
      <c r="V255">
        <f>S255-U255</f>
        <v>35145.415952551179</v>
      </c>
      <c r="W255" s="30">
        <f>V255/S255*100</f>
        <v>5.5331309637084241</v>
      </c>
    </row>
    <row r="256" spans="1:23">
      <c r="A256" s="1" t="s">
        <v>50</v>
      </c>
      <c r="B256" s="3">
        <v>45658</v>
      </c>
      <c r="C256" s="1" t="s">
        <v>27</v>
      </c>
      <c r="D256" s="1">
        <f>IF(C256="East",1,0)</f>
        <v>0</v>
      </c>
      <c r="E256" s="1">
        <f>IF(C256="West",1,0)</f>
        <v>1</v>
      </c>
      <c r="F256" s="1">
        <f>IF(C256="North",1,0)</f>
        <v>0</v>
      </c>
      <c r="G256" s="1" t="s">
        <v>28</v>
      </c>
      <c r="H256" s="1">
        <f>IF(G256="Residential",1,0)</f>
        <v>0</v>
      </c>
      <c r="I256" s="1">
        <f>IF(G256="High Street",1,0)</f>
        <v>0</v>
      </c>
      <c r="J256" s="1">
        <f>IF(G256="Mall",1,0)</f>
        <v>1</v>
      </c>
      <c r="K256" s="1">
        <v>61426.04</v>
      </c>
      <c r="L256" s="1">
        <v>8966</v>
      </c>
      <c r="M256" s="1">
        <v>0.17299999999999999</v>
      </c>
      <c r="N256" s="1">
        <v>22</v>
      </c>
      <c r="O256" s="1">
        <v>76.400000000000006</v>
      </c>
      <c r="P256" s="1">
        <v>1.05</v>
      </c>
      <c r="Q256" s="1">
        <v>0</v>
      </c>
      <c r="R256" s="1">
        <v>3.1</v>
      </c>
      <c r="S256" s="1">
        <v>778397.97</v>
      </c>
      <c r="T256" s="1">
        <v>120044.41</v>
      </c>
      <c r="U256">
        <f>146249.7963 + (33.6835738*L256) + (1.176703422*K256) + (3062.934007*O256) + (-39654.57312*H256) + (-22957.90276*I256) + (-11306.62502*J256)</f>
        <v>743238.4835735088</v>
      </c>
      <c r="V256">
        <f>S256-U256</f>
        <v>35159.486426491174</v>
      </c>
      <c r="W256" s="30">
        <f>V256/S256*100</f>
        <v>4.516903663879182</v>
      </c>
    </row>
    <row r="257" spans="1:23">
      <c r="A257" s="1" t="s">
        <v>48</v>
      </c>
      <c r="B257" s="3">
        <v>45658</v>
      </c>
      <c r="C257" s="1" t="s">
        <v>27</v>
      </c>
      <c r="D257" s="1">
        <f>IF(C257="East",1,0)</f>
        <v>0</v>
      </c>
      <c r="E257" s="1">
        <f>IF(C257="West",1,0)</f>
        <v>1</v>
      </c>
      <c r="F257" s="1">
        <f>IF(C257="North",1,0)</f>
        <v>0</v>
      </c>
      <c r="G257" s="1" t="s">
        <v>18</v>
      </c>
      <c r="H257" s="1">
        <f>IF(G257="Residential",1,0)</f>
        <v>0</v>
      </c>
      <c r="I257" s="1">
        <f>IF(G257="High Street",1,0)</f>
        <v>1</v>
      </c>
      <c r="J257" s="1">
        <f>IF(G257="Mall",1,0)</f>
        <v>0</v>
      </c>
      <c r="K257" s="1">
        <v>57919.07</v>
      </c>
      <c r="L257" s="1">
        <v>7374</v>
      </c>
      <c r="M257" s="1">
        <v>0.10299999999999999</v>
      </c>
      <c r="N257" s="1">
        <v>21</v>
      </c>
      <c r="O257" s="1">
        <v>82.3</v>
      </c>
      <c r="P257" s="1">
        <v>2.87</v>
      </c>
      <c r="Q257" s="1">
        <v>0</v>
      </c>
      <c r="R257" s="1">
        <v>2.9</v>
      </c>
      <c r="S257" s="1">
        <v>727227.2</v>
      </c>
      <c r="T257" s="1">
        <v>121292.01</v>
      </c>
      <c r="U257">
        <f>146249.7963 + (33.6835738*L257) + (1.176703422*K257) + (3062.934007*O257) + (-39654.57312*H257) + (-22957.90276*I257) + (-11306.62502*J257)</f>
        <v>691907.60338535754</v>
      </c>
      <c r="V257">
        <f>S257-U257</f>
        <v>35319.596614642418</v>
      </c>
      <c r="W257" s="30">
        <f>V257/S257*100</f>
        <v>4.856748566973625</v>
      </c>
    </row>
    <row r="258" spans="1:23">
      <c r="A258" s="1" t="s">
        <v>50</v>
      </c>
      <c r="B258" s="3">
        <v>45689</v>
      </c>
      <c r="C258" s="1" t="s">
        <v>27</v>
      </c>
      <c r="D258" s="1">
        <f>IF(C258="East",1,0)</f>
        <v>0</v>
      </c>
      <c r="E258" s="1">
        <f>IF(C258="West",1,0)</f>
        <v>1</v>
      </c>
      <c r="F258" s="1">
        <f>IF(C258="North",1,0)</f>
        <v>0</v>
      </c>
      <c r="G258" s="1" t="s">
        <v>28</v>
      </c>
      <c r="H258" s="1">
        <f>IF(G258="Residential",1,0)</f>
        <v>0</v>
      </c>
      <c r="I258" s="1">
        <f>IF(G258="High Street",1,0)</f>
        <v>0</v>
      </c>
      <c r="J258" s="1">
        <f>IF(G258="Mall",1,0)</f>
        <v>1</v>
      </c>
      <c r="K258" s="1">
        <v>80176.34</v>
      </c>
      <c r="L258" s="1">
        <v>9489</v>
      </c>
      <c r="M258" s="1">
        <v>0.14199999999999999</v>
      </c>
      <c r="N258" s="1">
        <v>22</v>
      </c>
      <c r="O258" s="1">
        <v>94.3</v>
      </c>
      <c r="P258" s="1">
        <v>2.67</v>
      </c>
      <c r="Q258" s="1">
        <v>0</v>
      </c>
      <c r="R258" s="1">
        <v>3.5</v>
      </c>
      <c r="S258" s="1">
        <v>873380.02</v>
      </c>
      <c r="T258" s="1">
        <v>149734.76</v>
      </c>
      <c r="U258">
        <f>146249.7963 + (33.6835738*L258) + (1.176703422*K258) + (3062.934007*O258) + (-39654.57312*H258) + (-22957.90276*I258) + (-11306.62502*J258)</f>
        <v>837745.05356973538</v>
      </c>
      <c r="V258">
        <f>S258-U258</f>
        <v>35634.966430264642</v>
      </c>
      <c r="W258" s="30">
        <f>V258/S258*100</f>
        <v>4.0801215523873147</v>
      </c>
    </row>
    <row r="259" spans="1:23">
      <c r="A259" s="1" t="s">
        <v>69</v>
      </c>
      <c r="B259" s="3">
        <v>45658</v>
      </c>
      <c r="C259" s="1" t="s">
        <v>15</v>
      </c>
      <c r="D259" s="1">
        <f>IF(C259="East",1,0)</f>
        <v>1</v>
      </c>
      <c r="E259" s="1">
        <f>IF(C259="West",1,0)</f>
        <v>0</v>
      </c>
      <c r="F259" s="1">
        <f>IF(C259="North",1,0)</f>
        <v>0</v>
      </c>
      <c r="G259" s="1" t="s">
        <v>18</v>
      </c>
      <c r="H259" s="1">
        <f>IF(G259="Residential",1,0)</f>
        <v>0</v>
      </c>
      <c r="I259" s="1">
        <f>IF(G259="High Street",1,0)</f>
        <v>1</v>
      </c>
      <c r="J259" s="1">
        <f>IF(G259="Mall",1,0)</f>
        <v>0</v>
      </c>
      <c r="K259" s="1">
        <v>71641.899999999994</v>
      </c>
      <c r="L259" s="1">
        <v>3506</v>
      </c>
      <c r="M259" s="1">
        <v>0</v>
      </c>
      <c r="N259" s="1">
        <v>11</v>
      </c>
      <c r="O259" s="1">
        <v>86.4</v>
      </c>
      <c r="P259" s="1">
        <v>7.77</v>
      </c>
      <c r="Q259" s="1">
        <v>0</v>
      </c>
      <c r="R259" s="1">
        <v>4.0999999999999996</v>
      </c>
      <c r="S259" s="1">
        <v>625993.82999999996</v>
      </c>
      <c r="T259" s="1">
        <v>98960.320000000007</v>
      </c>
      <c r="U259">
        <f>146249.7963 + (33.6835738*L259) + (1.176703422*K259) + (3062.934007*O259) + (-39654.57312*H259) + (-22957.90276*I259) + (-11306.62502*J259)</f>
        <v>590325.27037618193</v>
      </c>
      <c r="V259">
        <f>S259-U259</f>
        <v>35668.55962381803</v>
      </c>
      <c r="W259" s="30">
        <f>V259/S259*100</f>
        <v>5.6979091349539397</v>
      </c>
    </row>
    <row r="260" spans="1:23">
      <c r="A260" s="1" t="s">
        <v>90</v>
      </c>
      <c r="B260" s="3">
        <v>45689</v>
      </c>
      <c r="C260" s="1" t="s">
        <v>27</v>
      </c>
      <c r="D260" s="1">
        <f>IF(C260="East",1,0)</f>
        <v>0</v>
      </c>
      <c r="E260" s="1">
        <f>IF(C260="West",1,0)</f>
        <v>1</v>
      </c>
      <c r="F260" s="1">
        <f>IF(C260="North",1,0)</f>
        <v>0</v>
      </c>
      <c r="G260" s="1" t="s">
        <v>18</v>
      </c>
      <c r="H260" s="1">
        <f>IF(G260="Residential",1,0)</f>
        <v>0</v>
      </c>
      <c r="I260" s="1">
        <f>IF(G260="High Street",1,0)</f>
        <v>1</v>
      </c>
      <c r="J260" s="1">
        <f>IF(G260="Mall",1,0)</f>
        <v>0</v>
      </c>
      <c r="K260" s="1">
        <v>17562.57</v>
      </c>
      <c r="L260" s="1">
        <v>3326</v>
      </c>
      <c r="M260" s="1">
        <v>0.153</v>
      </c>
      <c r="N260" s="1">
        <v>14</v>
      </c>
      <c r="O260" s="1">
        <v>88.1</v>
      </c>
      <c r="P260" s="1">
        <v>1.04</v>
      </c>
      <c r="Q260" s="1">
        <v>0</v>
      </c>
      <c r="R260" s="1">
        <v>3.1</v>
      </c>
      <c r="S260" s="1">
        <v>561597.32999999996</v>
      </c>
      <c r="T260" s="1">
        <v>75072.75</v>
      </c>
      <c r="U260">
        <f>146249.7963 + (33.6835738*L260) + (1.176703422*K260) + (3062.934007*O260) + (-39654.57312*H260) + (-22957.90276*I260) + (-11306.62502*J260)</f>
        <v>525833.88223361457</v>
      </c>
      <c r="V260">
        <f>S260-U260</f>
        <v>35763.44776638539</v>
      </c>
      <c r="W260" s="30">
        <f>V260/S260*100</f>
        <v>6.3681655620380875</v>
      </c>
    </row>
    <row r="261" spans="1:23">
      <c r="A261" s="1" t="s">
        <v>35</v>
      </c>
      <c r="B261" s="3">
        <v>45689</v>
      </c>
      <c r="C261" s="1" t="s">
        <v>27</v>
      </c>
      <c r="D261" s="1">
        <f>IF(C261="East",1,0)</f>
        <v>0</v>
      </c>
      <c r="E261" s="1">
        <f>IF(C261="West",1,0)</f>
        <v>1</v>
      </c>
      <c r="F261" s="1">
        <f>IF(C261="North",1,0)</f>
        <v>0</v>
      </c>
      <c r="G261" s="1" t="s">
        <v>18</v>
      </c>
      <c r="H261" s="1">
        <f>IF(G261="Residential",1,0)</f>
        <v>0</v>
      </c>
      <c r="I261" s="1">
        <f>IF(G261="High Street",1,0)</f>
        <v>1</v>
      </c>
      <c r="J261" s="1">
        <f>IF(G261="Mall",1,0)</f>
        <v>0</v>
      </c>
      <c r="K261" s="1">
        <v>99874.01</v>
      </c>
      <c r="L261" s="1">
        <v>5887</v>
      </c>
      <c r="M261" s="1">
        <v>0.26200000000000001</v>
      </c>
      <c r="N261" s="1">
        <v>14</v>
      </c>
      <c r="O261" s="1">
        <v>88.7</v>
      </c>
      <c r="P261" s="1">
        <v>6.18</v>
      </c>
      <c r="Q261" s="1">
        <v>0</v>
      </c>
      <c r="R261" s="1">
        <v>4.7</v>
      </c>
      <c r="S261" s="1">
        <v>746677.75</v>
      </c>
      <c r="T261" s="1">
        <v>122437.84</v>
      </c>
      <c r="U261">
        <f>146249.7963 + (33.6835738*L261) + (1.176703422*K261) + (3062.934007*O261) + (-39654.57312*H261) + (-22957.90276*I261) + (-11306.62502*J261)</f>
        <v>710791.42825736222</v>
      </c>
      <c r="V261">
        <f>S261-U261</f>
        <v>35886.321742637781</v>
      </c>
      <c r="W261" s="30">
        <f>V261/S261*100</f>
        <v>4.806132463788801</v>
      </c>
    </row>
    <row r="262" spans="1:23">
      <c r="A262" s="1" t="s">
        <v>22</v>
      </c>
      <c r="B262" s="3">
        <v>45748</v>
      </c>
      <c r="C262" s="1" t="s">
        <v>15</v>
      </c>
      <c r="D262" s="1">
        <f>IF(C262="East",1,0)</f>
        <v>1</v>
      </c>
      <c r="E262" s="1">
        <f>IF(C262="West",1,0)</f>
        <v>0</v>
      </c>
      <c r="F262" s="1">
        <f>IF(C262="North",1,0)</f>
        <v>0</v>
      </c>
      <c r="G262" s="1" t="s">
        <v>16</v>
      </c>
      <c r="H262" s="1">
        <f>IF(G262="Residential",1,0)</f>
        <v>1</v>
      </c>
      <c r="I262" s="1">
        <f>IF(G262="High Street",1,0)</f>
        <v>0</v>
      </c>
      <c r="J262" s="1">
        <f>IF(G262="Mall",1,0)</f>
        <v>0</v>
      </c>
      <c r="K262" s="1">
        <v>75305.710000000006</v>
      </c>
      <c r="L262" s="1">
        <v>10940</v>
      </c>
      <c r="M262" s="1">
        <v>6.0000000000000001E-3</v>
      </c>
      <c r="N262" s="1">
        <v>26</v>
      </c>
      <c r="O262" s="1">
        <v>76.5</v>
      </c>
      <c r="P262" s="1">
        <v>1.32</v>
      </c>
      <c r="Q262" s="1">
        <v>0</v>
      </c>
      <c r="R262" s="1">
        <v>4.5</v>
      </c>
      <c r="S262" s="1">
        <v>834017.02</v>
      </c>
      <c r="T262" s="1">
        <v>114745.03</v>
      </c>
      <c r="U262">
        <f>146249.7963 + (33.6835738*L262) + (1.176703422*K262) + (3062.934007*O262) + (-39654.57312*H262) + (-22957.90276*I262) + (-11306.62502*J262)</f>
        <v>798020.45874063973</v>
      </c>
      <c r="V262">
        <f>S262-U262</f>
        <v>35996.561259360285</v>
      </c>
      <c r="W262" s="30">
        <f>V262/S262*100</f>
        <v>4.3160463631018322</v>
      </c>
    </row>
    <row r="263" spans="1:23">
      <c r="A263" s="1" t="s">
        <v>44</v>
      </c>
      <c r="B263" s="3">
        <v>45658</v>
      </c>
      <c r="C263" s="1" t="s">
        <v>24</v>
      </c>
      <c r="D263" s="1">
        <f>IF(C263="East",1,0)</f>
        <v>0</v>
      </c>
      <c r="E263" s="1">
        <f>IF(C263="West",1,0)</f>
        <v>0</v>
      </c>
      <c r="F263" s="1">
        <f>IF(C263="North",1,0)</f>
        <v>0</v>
      </c>
      <c r="G263" s="1" t="s">
        <v>28</v>
      </c>
      <c r="H263" s="1">
        <f>IF(G263="Residential",1,0)</f>
        <v>0</v>
      </c>
      <c r="I263" s="1">
        <f>IF(G263="High Street",1,0)</f>
        <v>0</v>
      </c>
      <c r="J263" s="1">
        <f>IF(G263="Mall",1,0)</f>
        <v>1</v>
      </c>
      <c r="K263" s="1">
        <v>50517.94</v>
      </c>
      <c r="L263" s="1">
        <v>7024</v>
      </c>
      <c r="M263" s="1">
        <v>2.9000000000000001E-2</v>
      </c>
      <c r="N263" s="1">
        <v>18</v>
      </c>
      <c r="O263" s="1">
        <v>79.2</v>
      </c>
      <c r="P263" s="1">
        <v>6.61</v>
      </c>
      <c r="Q263" s="1">
        <v>1</v>
      </c>
      <c r="R263" s="1">
        <v>4.0999999999999996</v>
      </c>
      <c r="S263" s="1">
        <v>711213.46</v>
      </c>
      <c r="T263" s="1">
        <v>105863.26</v>
      </c>
      <c r="U263">
        <f>146249.7963 + (33.6835738*L263) + (1.176703422*K263) + (3062.934007*O263) + (-39654.57312*H263) + (-22957.90276*I263) + (-11306.62502*J263)</f>
        <v>673565.59987599065</v>
      </c>
      <c r="V263">
        <f>S263-U263</f>
        <v>37647.860124009312</v>
      </c>
      <c r="W263" s="30">
        <f>V263/S263*100</f>
        <v>5.2934684509499181</v>
      </c>
    </row>
    <row r="264" spans="1:23">
      <c r="A264" s="1" t="s">
        <v>63</v>
      </c>
      <c r="B264" s="3">
        <v>45658</v>
      </c>
      <c r="C264" s="1" t="s">
        <v>20</v>
      </c>
      <c r="D264" s="1">
        <f>IF(C264="East",1,0)</f>
        <v>0</v>
      </c>
      <c r="E264" s="1">
        <f>IF(C264="West",1,0)</f>
        <v>0</v>
      </c>
      <c r="F264" s="1">
        <f>IF(C264="North",1,0)</f>
        <v>1</v>
      </c>
      <c r="G264" s="1" t="s">
        <v>28</v>
      </c>
      <c r="H264" s="1">
        <f>IF(G264="Residential",1,0)</f>
        <v>0</v>
      </c>
      <c r="I264" s="1">
        <f>IF(G264="High Street",1,0)</f>
        <v>0</v>
      </c>
      <c r="J264" s="1">
        <f>IF(G264="Mall",1,0)</f>
        <v>1</v>
      </c>
      <c r="K264" s="1">
        <v>72150.53</v>
      </c>
      <c r="L264" s="1">
        <v>9323</v>
      </c>
      <c r="M264" s="1">
        <v>0.157</v>
      </c>
      <c r="N264" s="1">
        <v>22</v>
      </c>
      <c r="O264" s="1">
        <v>82.9</v>
      </c>
      <c r="P264" s="1">
        <v>11.37</v>
      </c>
      <c r="Q264" s="1">
        <v>1</v>
      </c>
      <c r="R264" s="1">
        <v>4.3</v>
      </c>
      <c r="S264" s="1">
        <v>825797.91</v>
      </c>
      <c r="T264" s="1">
        <v>130945.24</v>
      </c>
      <c r="U264">
        <f>146249.7963 + (33.6835738*L264) + (1.176703422*K264) + (3062.934007*O264) + (-39654.57312*H264) + (-22957.90276*I264) + (-11306.62502*J264)</f>
        <v>787792.13454781368</v>
      </c>
      <c r="V264">
        <f>S264-U264</f>
        <v>38005.775452186354</v>
      </c>
      <c r="W264" s="30">
        <f>V264/S264*100</f>
        <v>4.6023094745040405</v>
      </c>
    </row>
    <row r="265" spans="1:23">
      <c r="A265" s="1" t="s">
        <v>41</v>
      </c>
      <c r="B265" s="3">
        <v>45689</v>
      </c>
      <c r="C265" s="1" t="s">
        <v>24</v>
      </c>
      <c r="D265" s="1">
        <f>IF(C265="East",1,0)</f>
        <v>0</v>
      </c>
      <c r="E265" s="1">
        <f>IF(C265="West",1,0)</f>
        <v>0</v>
      </c>
      <c r="F265" s="1">
        <f>IF(C265="North",1,0)</f>
        <v>0</v>
      </c>
      <c r="G265" s="1" t="s">
        <v>18</v>
      </c>
      <c r="H265" s="1">
        <f>IF(G265="Residential",1,0)</f>
        <v>0</v>
      </c>
      <c r="I265" s="1">
        <f>IF(G265="High Street",1,0)</f>
        <v>1</v>
      </c>
      <c r="J265" s="1">
        <f>IF(G265="Mall",1,0)</f>
        <v>0</v>
      </c>
      <c r="K265" s="1">
        <v>54872.82</v>
      </c>
      <c r="L265" s="1">
        <v>5962</v>
      </c>
      <c r="M265" s="1">
        <v>6.4000000000000001E-2</v>
      </c>
      <c r="N265" s="1">
        <v>12</v>
      </c>
      <c r="O265" s="1">
        <v>85.4</v>
      </c>
      <c r="P265" s="1">
        <v>2.58</v>
      </c>
      <c r="Q265" s="1">
        <v>0</v>
      </c>
      <c r="R265" s="1">
        <v>2.9</v>
      </c>
      <c r="S265" s="1">
        <v>691112.6</v>
      </c>
      <c r="T265" s="1">
        <v>109212.83</v>
      </c>
      <c r="U265">
        <f>146249.7963 + (33.6835738*L265) + (1.176703422*K265) + (3062.934007*O265) + (-39654.57312*H265) + (-22957.90276*I265) + (-11306.62502*J265)</f>
        <v>650256.95980219007</v>
      </c>
      <c r="V265">
        <f>S265-U265</f>
        <v>40855.640197809902</v>
      </c>
      <c r="W265" s="30">
        <f>V265/S265*100</f>
        <v>5.9115750744249063</v>
      </c>
    </row>
    <row r="266" spans="1:23">
      <c r="A266" s="1" t="s">
        <v>64</v>
      </c>
      <c r="B266" s="3">
        <v>45717</v>
      </c>
      <c r="C266" s="1" t="s">
        <v>15</v>
      </c>
      <c r="D266" s="1">
        <f>IF(C266="East",1,0)</f>
        <v>1</v>
      </c>
      <c r="E266" s="1">
        <f>IF(C266="West",1,0)</f>
        <v>0</v>
      </c>
      <c r="F266" s="1">
        <f>IF(C266="North",1,0)</f>
        <v>0</v>
      </c>
      <c r="G266" s="1" t="s">
        <v>16</v>
      </c>
      <c r="H266" s="1">
        <f>IF(G266="Residential",1,0)</f>
        <v>1</v>
      </c>
      <c r="I266" s="1">
        <f>IF(G266="High Street",1,0)</f>
        <v>0</v>
      </c>
      <c r="J266" s="1">
        <f>IF(G266="Mall",1,0)</f>
        <v>0</v>
      </c>
      <c r="K266" s="1">
        <v>50825.08</v>
      </c>
      <c r="L266" s="1">
        <v>8949</v>
      </c>
      <c r="M266" s="1">
        <v>0.157</v>
      </c>
      <c r="N266" s="1">
        <v>21</v>
      </c>
      <c r="O266" s="1">
        <v>84.7</v>
      </c>
      <c r="P266" s="1">
        <v>7.73</v>
      </c>
      <c r="Q266" s="1">
        <v>0</v>
      </c>
      <c r="R266" s="1">
        <v>4.9000000000000004</v>
      </c>
      <c r="S266" s="1">
        <v>769702.76</v>
      </c>
      <c r="T266" s="1">
        <v>158697</v>
      </c>
      <c r="U266">
        <f>146249.7963 + (33.6835738*L266) + (1.176703422*K266) + (3062.934007*O266) + (-39654.57312*H266) + (-22957.90276*I266) + (-11306.62502*J266)</f>
        <v>727266.08106852381</v>
      </c>
      <c r="V266">
        <f>S266-U266</f>
        <v>42436.678931476199</v>
      </c>
      <c r="W266" s="30">
        <f>V266/S266*100</f>
        <v>5.5133853140238447</v>
      </c>
    </row>
    <row r="267" spans="1:23">
      <c r="A267" s="1" t="s">
        <v>33</v>
      </c>
      <c r="B267" s="3">
        <v>45717</v>
      </c>
      <c r="C267" s="1" t="s">
        <v>27</v>
      </c>
      <c r="D267" s="1">
        <f>IF(C267="East",1,0)</f>
        <v>0</v>
      </c>
      <c r="E267" s="1">
        <f>IF(C267="West",1,0)</f>
        <v>1</v>
      </c>
      <c r="F267" s="1">
        <f>IF(C267="North",1,0)</f>
        <v>0</v>
      </c>
      <c r="G267" s="1" t="s">
        <v>16</v>
      </c>
      <c r="H267" s="1">
        <f>IF(G267="Residential",1,0)</f>
        <v>1</v>
      </c>
      <c r="I267" s="1">
        <f>IF(G267="High Street",1,0)</f>
        <v>0</v>
      </c>
      <c r="J267" s="1">
        <f>IF(G267="Mall",1,0)</f>
        <v>0</v>
      </c>
      <c r="K267" s="1">
        <v>50043.65</v>
      </c>
      <c r="L267" s="1">
        <v>3804</v>
      </c>
      <c r="M267" s="1">
        <v>0.113</v>
      </c>
      <c r="N267" s="1">
        <v>11</v>
      </c>
      <c r="O267" s="1">
        <v>90.9</v>
      </c>
      <c r="P267" s="1">
        <v>2.7</v>
      </c>
      <c r="Q267" s="1">
        <v>1</v>
      </c>
      <c r="R267" s="1">
        <v>3.2</v>
      </c>
      <c r="S267" s="1">
        <v>614800.09</v>
      </c>
      <c r="T267" s="1">
        <v>100044.2</v>
      </c>
      <c r="U267">
        <f>146249.7963 + (33.6835738*L267) + (1.176703422*K267) + (3062.934007*O267) + (-39654.57312*H267) + (-22957.90276*I267) + (-11306.62502*J267)</f>
        <v>572034.77335587027</v>
      </c>
      <c r="V267">
        <f>S267-U267</f>
        <v>42765.316644129693</v>
      </c>
      <c r="W267" s="30">
        <f>V267/S267*100</f>
        <v>6.9559711099147199</v>
      </c>
    </row>
    <row r="268" spans="1:23">
      <c r="A268" s="1" t="s">
        <v>56</v>
      </c>
      <c r="B268" s="3">
        <v>45689</v>
      </c>
      <c r="C268" s="1" t="s">
        <v>24</v>
      </c>
      <c r="D268" s="1">
        <f>IF(C268="East",1,0)</f>
        <v>0</v>
      </c>
      <c r="E268" s="1">
        <f>IF(C268="West",1,0)</f>
        <v>0</v>
      </c>
      <c r="F268" s="1">
        <f>IF(C268="North",1,0)</f>
        <v>0</v>
      </c>
      <c r="G268" s="1" t="s">
        <v>16</v>
      </c>
      <c r="H268" s="1">
        <f>IF(G268="Residential",1,0)</f>
        <v>1</v>
      </c>
      <c r="I268" s="1">
        <f>IF(G268="High Street",1,0)</f>
        <v>0</v>
      </c>
      <c r="J268" s="1">
        <f>IF(G268="Mall",1,0)</f>
        <v>0</v>
      </c>
      <c r="K268" s="1">
        <v>75109.67</v>
      </c>
      <c r="L268" s="1">
        <v>6244</v>
      </c>
      <c r="M268" s="1">
        <v>7.9000000000000001E-2</v>
      </c>
      <c r="N268" s="1">
        <v>15</v>
      </c>
      <c r="O268" s="1">
        <v>96.3</v>
      </c>
      <c r="P268" s="1">
        <v>7.38</v>
      </c>
      <c r="Q268" s="1">
        <v>0</v>
      </c>
      <c r="R268" s="1">
        <v>3.7</v>
      </c>
      <c r="S268" s="1">
        <v>743348.84</v>
      </c>
      <c r="T268" s="1">
        <v>104186.09</v>
      </c>
      <c r="U268">
        <f>146249.7963 + (33.6835738*L268) + (1.176703422*K268) + (3062.934007*O268) + (-39654.57312*H268) + (-22957.90276*I268) + (-11306.62502*J268)</f>
        <v>700257.80857559072</v>
      </c>
      <c r="V268">
        <f>S268-U268</f>
        <v>43091.031424409244</v>
      </c>
      <c r="W268" s="30">
        <f>V268/S268*100</f>
        <v>5.7968788145831027</v>
      </c>
    </row>
    <row r="269" spans="1:23">
      <c r="A269" s="1" t="s">
        <v>73</v>
      </c>
      <c r="B269" s="3">
        <v>45689</v>
      </c>
      <c r="C269" s="1" t="s">
        <v>15</v>
      </c>
      <c r="D269" s="1">
        <f>IF(C269="East",1,0)</f>
        <v>1</v>
      </c>
      <c r="E269" s="1">
        <f>IF(C269="West",1,0)</f>
        <v>0</v>
      </c>
      <c r="F269" s="1">
        <f>IF(C269="North",1,0)</f>
        <v>0</v>
      </c>
      <c r="G269" s="1" t="s">
        <v>28</v>
      </c>
      <c r="H269" s="1">
        <f>IF(G269="Residential",1,0)</f>
        <v>0</v>
      </c>
      <c r="I269" s="1">
        <f>IF(G269="High Street",1,0)</f>
        <v>0</v>
      </c>
      <c r="J269" s="1">
        <f>IF(G269="Mall",1,0)</f>
        <v>1</v>
      </c>
      <c r="K269" s="1">
        <v>54300.87</v>
      </c>
      <c r="L269" s="1">
        <v>7875</v>
      </c>
      <c r="M269" s="1">
        <v>0.107</v>
      </c>
      <c r="N269" s="1">
        <v>19</v>
      </c>
      <c r="O269" s="1">
        <v>94.1</v>
      </c>
      <c r="P269" s="1">
        <v>0.95</v>
      </c>
      <c r="Q269" s="1">
        <v>0</v>
      </c>
      <c r="R269" s="1">
        <v>3.7</v>
      </c>
      <c r="S269" s="1">
        <v>795464.47</v>
      </c>
      <c r="T269" s="1">
        <v>161150.51999999999</v>
      </c>
      <c r="U269">
        <f>146249.7963 + (33.6835738*L269) + (1.176703422*K269) + (3062.934007*O269) + (-39654.57312*H269) + (-22957.90276*I269) + (-11306.62502*J269)</f>
        <v>752319.42456027702</v>
      </c>
      <c r="V269">
        <f>S269-U269</f>
        <v>43145.045439722948</v>
      </c>
      <c r="W269" s="30">
        <f>V269/S269*100</f>
        <v>5.4238808981277256</v>
      </c>
    </row>
    <row r="270" spans="1:23">
      <c r="A270" s="1" t="s">
        <v>57</v>
      </c>
      <c r="B270" s="3">
        <v>45658</v>
      </c>
      <c r="C270" s="1" t="s">
        <v>27</v>
      </c>
      <c r="D270" s="1">
        <f>IF(C270="East",1,0)</f>
        <v>0</v>
      </c>
      <c r="E270" s="1">
        <f>IF(C270="West",1,0)</f>
        <v>1</v>
      </c>
      <c r="F270" s="1">
        <f>IF(C270="North",1,0)</f>
        <v>0</v>
      </c>
      <c r="G270" s="1" t="s">
        <v>18</v>
      </c>
      <c r="H270" s="1">
        <f>IF(G270="Residential",1,0)</f>
        <v>0</v>
      </c>
      <c r="I270" s="1">
        <f>IF(G270="High Street",1,0)</f>
        <v>1</v>
      </c>
      <c r="J270" s="1">
        <f>IF(G270="Mall",1,0)</f>
        <v>0</v>
      </c>
      <c r="K270" s="1">
        <v>51430.31</v>
      </c>
      <c r="L270" s="1">
        <v>6427</v>
      </c>
      <c r="M270" s="1">
        <v>0.23400000000000001</v>
      </c>
      <c r="N270" s="1">
        <v>14</v>
      </c>
      <c r="O270" s="1">
        <v>88.8</v>
      </c>
      <c r="P270" s="1">
        <v>0.77</v>
      </c>
      <c r="Q270" s="1">
        <v>0</v>
      </c>
      <c r="R270" s="1">
        <v>4.0999999999999996</v>
      </c>
      <c r="S270" s="1">
        <v>715890.53</v>
      </c>
      <c r="T270" s="1">
        <v>109032.15</v>
      </c>
      <c r="U270">
        <f>146249.7963 + (33.6835738*L270) + (1.176703422*K270) + (3062.934007*O270) + (-39654.57312*H270) + (-22957.90276*I270) + (-11306.62502*J270)</f>
        <v>672282.98394572083</v>
      </c>
      <c r="V270">
        <f>S270-U270</f>
        <v>43607.546054279199</v>
      </c>
      <c r="W270" s="30">
        <f>V270/S270*100</f>
        <v>6.0913707091891824</v>
      </c>
    </row>
    <row r="271" spans="1:23">
      <c r="A271" s="1" t="s">
        <v>61</v>
      </c>
      <c r="B271" s="3">
        <v>45748</v>
      </c>
      <c r="C271" s="1" t="s">
        <v>20</v>
      </c>
      <c r="D271" s="1">
        <f>IF(C271="East",1,0)</f>
        <v>0</v>
      </c>
      <c r="E271" s="1">
        <f>IF(C271="West",1,0)</f>
        <v>0</v>
      </c>
      <c r="F271" s="1">
        <f>IF(C271="North",1,0)</f>
        <v>1</v>
      </c>
      <c r="G271" s="1" t="s">
        <v>28</v>
      </c>
      <c r="H271" s="1">
        <f>IF(G271="Residential",1,0)</f>
        <v>0</v>
      </c>
      <c r="I271" s="1">
        <f>IF(G271="High Street",1,0)</f>
        <v>0</v>
      </c>
      <c r="J271" s="1">
        <f>IF(G271="Mall",1,0)</f>
        <v>1</v>
      </c>
      <c r="K271" s="1">
        <v>23254.57</v>
      </c>
      <c r="L271" s="1">
        <v>3847</v>
      </c>
      <c r="M271" s="1">
        <v>0.159</v>
      </c>
      <c r="N271" s="1">
        <v>12</v>
      </c>
      <c r="O271" s="1">
        <v>93</v>
      </c>
      <c r="P271" s="1">
        <v>5.46</v>
      </c>
      <c r="Q271" s="1">
        <v>0</v>
      </c>
      <c r="R271" s="1">
        <v>3.3</v>
      </c>
      <c r="S271" s="1">
        <v>620973.03</v>
      </c>
      <c r="T271" s="1">
        <v>72303.850000000006</v>
      </c>
      <c r="U271">
        <f>146249.7963 + (33.6835738*L271) + (1.176703422*K271) + (3062.934007*O271) + (-39654.57312*H271) + (-22957.90276*I271) + (-11306.62502*J271)</f>
        <v>576740.4744357384</v>
      </c>
      <c r="V271">
        <f>S271-U271</f>
        <v>44232.555564261624</v>
      </c>
      <c r="W271" s="30">
        <f>V271/S271*100</f>
        <v>7.123104132922105</v>
      </c>
    </row>
    <row r="272" spans="1:23">
      <c r="A272" s="1" t="s">
        <v>31</v>
      </c>
      <c r="B272" s="3">
        <v>45658</v>
      </c>
      <c r="C272" s="1" t="s">
        <v>20</v>
      </c>
      <c r="D272" s="1">
        <f>IF(C272="East",1,0)</f>
        <v>0</v>
      </c>
      <c r="E272" s="1">
        <f>IF(C272="West",1,0)</f>
        <v>0</v>
      </c>
      <c r="F272" s="1">
        <f>IF(C272="North",1,0)</f>
        <v>1</v>
      </c>
      <c r="G272" s="1" t="s">
        <v>28</v>
      </c>
      <c r="H272" s="1">
        <f>IF(G272="Residential",1,0)</f>
        <v>0</v>
      </c>
      <c r="I272" s="1">
        <f>IF(G272="High Street",1,0)</f>
        <v>0</v>
      </c>
      <c r="J272" s="1">
        <f>IF(G272="Mall",1,0)</f>
        <v>1</v>
      </c>
      <c r="K272" s="1">
        <v>75269.87</v>
      </c>
      <c r="L272" s="1">
        <v>8838</v>
      </c>
      <c r="M272" s="1">
        <v>9.1999999999999998E-2</v>
      </c>
      <c r="N272" s="1">
        <v>21</v>
      </c>
      <c r="O272" s="1">
        <v>83.1</v>
      </c>
      <c r="P272" s="1">
        <v>9.56</v>
      </c>
      <c r="Q272" s="1">
        <v>1</v>
      </c>
      <c r="R272" s="1">
        <v>4.2</v>
      </c>
      <c r="S272" s="1">
        <v>820593.93</v>
      </c>
      <c r="T272" s="1">
        <v>115860.06</v>
      </c>
      <c r="U272">
        <f>146249.7963 + (33.6835738*L272) + (1.176703422*K272) + (3062.934007*O272) + (-39654.57312*H272) + (-22957.90276*I272) + (-11306.62502*J272)</f>
        <v>775738.72610859503</v>
      </c>
      <c r="V272">
        <f>S272-U272</f>
        <v>44855.203891405021</v>
      </c>
      <c r="W272" s="30">
        <f>V272/S272*100</f>
        <v>5.4661876296605092</v>
      </c>
    </row>
    <row r="273" spans="1:23">
      <c r="A273" s="1" t="s">
        <v>19</v>
      </c>
      <c r="B273" s="3">
        <v>45748</v>
      </c>
      <c r="C273" s="1" t="s">
        <v>20</v>
      </c>
      <c r="D273" s="1">
        <f>IF(C273="East",1,0)</f>
        <v>0</v>
      </c>
      <c r="E273" s="1">
        <f>IF(C273="West",1,0)</f>
        <v>0</v>
      </c>
      <c r="F273" s="1">
        <f>IF(C273="North",1,0)</f>
        <v>1</v>
      </c>
      <c r="G273" s="1" t="s">
        <v>21</v>
      </c>
      <c r="H273" s="1">
        <f>IF(G273="Residential",1,0)</f>
        <v>0</v>
      </c>
      <c r="I273" s="1">
        <f>IF(G273="High Street",1,0)</f>
        <v>0</v>
      </c>
      <c r="J273" s="1">
        <f>IF(G273="Mall",1,0)</f>
        <v>0</v>
      </c>
      <c r="K273" s="1">
        <v>67979.88</v>
      </c>
      <c r="L273" s="1">
        <v>11230</v>
      </c>
      <c r="M273" s="1">
        <v>2E-3</v>
      </c>
      <c r="N273" s="1">
        <v>28</v>
      </c>
      <c r="O273" s="1">
        <v>85.3</v>
      </c>
      <c r="P273" s="1">
        <v>7.16</v>
      </c>
      <c r="Q273" s="1">
        <v>0</v>
      </c>
      <c r="R273" s="1">
        <v>3.8</v>
      </c>
      <c r="S273" s="1">
        <v>910791.94</v>
      </c>
      <c r="T273" s="1">
        <v>158891.28</v>
      </c>
      <c r="U273">
        <f>146249.7963 + (33.6835738*L273) + (1.176703422*K273) + (3062.934007*O273) + (-39654.57312*H273) + (-22957.90276*I273) + (-11306.62502*J273)</f>
        <v>865776.75829424919</v>
      </c>
      <c r="V273">
        <f>S273-U273</f>
        <v>45015.181705750758</v>
      </c>
      <c r="W273" s="30">
        <f>V273/S273*100</f>
        <v>4.9424220536855827</v>
      </c>
    </row>
    <row r="274" spans="1:23">
      <c r="A274" s="1" t="s">
        <v>57</v>
      </c>
      <c r="B274" s="3">
        <v>45717</v>
      </c>
      <c r="C274" s="1" t="s">
        <v>27</v>
      </c>
      <c r="D274" s="1">
        <f>IF(C274="East",1,0)</f>
        <v>0</v>
      </c>
      <c r="E274" s="1">
        <f>IF(C274="West",1,0)</f>
        <v>1</v>
      </c>
      <c r="F274" s="1">
        <f>IF(C274="North",1,0)</f>
        <v>0</v>
      </c>
      <c r="G274" s="1" t="s">
        <v>18</v>
      </c>
      <c r="H274" s="1">
        <f>IF(G274="Residential",1,0)</f>
        <v>0</v>
      </c>
      <c r="I274" s="1">
        <f>IF(G274="High Street",1,0)</f>
        <v>1</v>
      </c>
      <c r="J274" s="1">
        <f>IF(G274="Mall",1,0)</f>
        <v>0</v>
      </c>
      <c r="K274" s="1">
        <v>44034.6</v>
      </c>
      <c r="L274" s="1">
        <v>5645</v>
      </c>
      <c r="M274" s="1">
        <v>6.9000000000000006E-2</v>
      </c>
      <c r="N274" s="1">
        <v>18</v>
      </c>
      <c r="O274" s="1">
        <v>88.5</v>
      </c>
      <c r="P274" s="1">
        <v>3.07</v>
      </c>
      <c r="Q274" s="1">
        <v>0</v>
      </c>
      <c r="R274" s="1">
        <v>3.8</v>
      </c>
      <c r="S274" s="1">
        <v>682639.28</v>
      </c>
      <c r="T274" s="1">
        <v>77557.53</v>
      </c>
      <c r="U274">
        <f>146249.7963 + (33.6835738*L274) + (1.176703422*K274) + (3062.934007*O274) + (-39654.57312*H274) + (-22957.90276*I274) + (-11306.62502*J274)</f>
        <v>636320.99176690122</v>
      </c>
      <c r="V274">
        <f>S274-U274</f>
        <v>46318.288233098807</v>
      </c>
      <c r="W274" s="30">
        <f>V274/S274*100</f>
        <v>6.7851777051415514</v>
      </c>
    </row>
    <row r="275" spans="1:23">
      <c r="A275" s="1" t="s">
        <v>35</v>
      </c>
      <c r="B275" s="3">
        <v>45717</v>
      </c>
      <c r="C275" s="1" t="s">
        <v>27</v>
      </c>
      <c r="D275" s="1">
        <f>IF(C275="East",1,0)</f>
        <v>0</v>
      </c>
      <c r="E275" s="1">
        <f>IF(C275="West",1,0)</f>
        <v>1</v>
      </c>
      <c r="F275" s="1">
        <f>IF(C275="North",1,0)</f>
        <v>0</v>
      </c>
      <c r="G275" s="1" t="s">
        <v>18</v>
      </c>
      <c r="H275" s="1">
        <f>IF(G275="Residential",1,0)</f>
        <v>0</v>
      </c>
      <c r="I275" s="1">
        <f>IF(G275="High Street",1,0)</f>
        <v>1</v>
      </c>
      <c r="J275" s="1">
        <f>IF(G275="Mall",1,0)</f>
        <v>0</v>
      </c>
      <c r="K275" s="1">
        <v>81195.5</v>
      </c>
      <c r="L275" s="1">
        <v>5516</v>
      </c>
      <c r="M275" s="1">
        <v>0.106</v>
      </c>
      <c r="N275" s="1">
        <v>14</v>
      </c>
      <c r="O275" s="1">
        <v>88</v>
      </c>
      <c r="P275" s="1">
        <v>1.76</v>
      </c>
      <c r="Q275" s="1">
        <v>0</v>
      </c>
      <c r="R275" s="1">
        <v>4.3</v>
      </c>
      <c r="S275" s="1">
        <v>720852.5</v>
      </c>
      <c r="T275" s="1">
        <v>98565.62</v>
      </c>
      <c r="U275">
        <f>146249.7963 + (33.6835738*L275) + (1.176703422*K275) + (3062.934007*O275) + (-39654.57312*H275) + (-22957.90276*I275) + (-11306.62502*J275)</f>
        <v>674171.70193780097</v>
      </c>
      <c r="V275">
        <f>S275-U275</f>
        <v>46680.798062199028</v>
      </c>
      <c r="W275" s="30">
        <f>V275/S275*100</f>
        <v>6.4757766758385422</v>
      </c>
    </row>
    <row r="276" spans="1:23">
      <c r="A276" s="1" t="s">
        <v>98</v>
      </c>
      <c r="B276" s="3">
        <v>45658</v>
      </c>
      <c r="C276" s="1" t="s">
        <v>24</v>
      </c>
      <c r="D276" s="1">
        <f>IF(C276="East",1,0)</f>
        <v>0</v>
      </c>
      <c r="E276" s="1">
        <f>IF(C276="West",1,0)</f>
        <v>0</v>
      </c>
      <c r="F276" s="1">
        <f>IF(C276="North",1,0)</f>
        <v>0</v>
      </c>
      <c r="G276" s="1" t="s">
        <v>16</v>
      </c>
      <c r="H276" s="1">
        <f>IF(G276="Residential",1,0)</f>
        <v>1</v>
      </c>
      <c r="I276" s="1">
        <f>IF(G276="High Street",1,0)</f>
        <v>0</v>
      </c>
      <c r="J276" s="1">
        <f>IF(G276="Mall",1,0)</f>
        <v>0</v>
      </c>
      <c r="K276" s="1">
        <v>54948.02</v>
      </c>
      <c r="L276" s="1">
        <v>6534</v>
      </c>
      <c r="M276" s="1">
        <v>0.183</v>
      </c>
      <c r="N276" s="1">
        <v>14</v>
      </c>
      <c r="O276" s="1">
        <v>94.5</v>
      </c>
      <c r="P276" s="1">
        <v>1.56</v>
      </c>
      <c r="Q276" s="1">
        <v>0</v>
      </c>
      <c r="R276" s="1">
        <v>4</v>
      </c>
      <c r="S276" s="1">
        <v>727957.48</v>
      </c>
      <c r="T276" s="1">
        <v>74805.23</v>
      </c>
      <c r="U276">
        <f>146249.7963 + (33.6835738*L276) + (1.176703422*K276) + (3062.934007*O276) + (-39654.57312*H276) + (-22957.90276*I276) + (-11306.62502*J276)</f>
        <v>680788.4812168245</v>
      </c>
      <c r="V276">
        <f>S276-U276</f>
        <v>47168.998783175484</v>
      </c>
      <c r="W276" s="30">
        <f>V276/S276*100</f>
        <v>6.4796365281081378</v>
      </c>
    </row>
    <row r="277" spans="1:23">
      <c r="A277" s="1" t="s">
        <v>91</v>
      </c>
      <c r="B277" s="3">
        <v>45689</v>
      </c>
      <c r="C277" s="1" t="s">
        <v>24</v>
      </c>
      <c r="D277" s="1">
        <f>IF(C277="East",1,0)</f>
        <v>0</v>
      </c>
      <c r="E277" s="1">
        <f>IF(C277="West",1,0)</f>
        <v>0</v>
      </c>
      <c r="F277" s="1">
        <f>IF(C277="North",1,0)</f>
        <v>0</v>
      </c>
      <c r="G277" s="1" t="s">
        <v>16</v>
      </c>
      <c r="H277" s="1">
        <f>IF(G277="Residential",1,0)</f>
        <v>1</v>
      </c>
      <c r="I277" s="1">
        <f>IF(G277="High Street",1,0)</f>
        <v>0</v>
      </c>
      <c r="J277" s="1">
        <f>IF(G277="Mall",1,0)</f>
        <v>0</v>
      </c>
      <c r="K277" s="1">
        <v>36832.33</v>
      </c>
      <c r="L277" s="1">
        <v>8001</v>
      </c>
      <c r="M277" s="1">
        <v>0</v>
      </c>
      <c r="N277" s="1">
        <v>19</v>
      </c>
      <c r="O277" s="1">
        <v>88.7</v>
      </c>
      <c r="P277" s="1">
        <v>3.39</v>
      </c>
      <c r="Q277" s="1">
        <v>0</v>
      </c>
      <c r="R277" s="1">
        <v>4</v>
      </c>
      <c r="S277" s="1">
        <v>738548.42</v>
      </c>
      <c r="T277" s="1">
        <v>134282.76999999999</v>
      </c>
      <c r="U277">
        <f>146249.7963 + (33.6835738*L277) + (1.176703422*K277) + (3062.934007*O277) + (-39654.57312*H277) + (-22957.90276*I277) + (-11306.62502*J277)</f>
        <v>691120.47232593328</v>
      </c>
      <c r="V277">
        <f>S277-U277</f>
        <v>47427.94767406676</v>
      </c>
      <c r="W277" s="30">
        <f>V277/S277*100</f>
        <v>6.4217790451798349</v>
      </c>
    </row>
    <row r="278" spans="1:23">
      <c r="A278" s="1" t="s">
        <v>97</v>
      </c>
      <c r="B278" s="3">
        <v>45748</v>
      </c>
      <c r="C278" s="1" t="s">
        <v>20</v>
      </c>
      <c r="D278" s="1">
        <f>IF(C278="East",1,0)</f>
        <v>0</v>
      </c>
      <c r="E278" s="1">
        <f>IF(C278="West",1,0)</f>
        <v>0</v>
      </c>
      <c r="F278" s="1">
        <f>IF(C278="North",1,0)</f>
        <v>1</v>
      </c>
      <c r="G278" s="1" t="s">
        <v>28</v>
      </c>
      <c r="H278" s="1">
        <f>IF(G278="Residential",1,0)</f>
        <v>0</v>
      </c>
      <c r="I278" s="1">
        <f>IF(G278="High Street",1,0)</f>
        <v>0</v>
      </c>
      <c r="J278" s="1">
        <f>IF(G278="Mall",1,0)</f>
        <v>1</v>
      </c>
      <c r="K278" s="1">
        <v>31997.25</v>
      </c>
      <c r="L278" s="1">
        <v>8183</v>
      </c>
      <c r="M278" s="1">
        <v>0.19800000000000001</v>
      </c>
      <c r="N278" s="1">
        <v>18</v>
      </c>
      <c r="O278" s="1">
        <v>93</v>
      </c>
      <c r="P278" s="1">
        <v>2.79</v>
      </c>
      <c r="Q278" s="1">
        <v>0</v>
      </c>
      <c r="R278" s="1">
        <v>4.2</v>
      </c>
      <c r="S278" s="1">
        <v>780580.95</v>
      </c>
      <c r="T278" s="1">
        <v>138144.46</v>
      </c>
      <c r="U278">
        <f>146249.7963 + (33.6835738*L278) + (1.176703422*K278) + (3062.934007*O278) + (-39654.57312*H278) + (-22957.90276*I278) + (-11306.62502*J278)</f>
        <v>733079.99190598947</v>
      </c>
      <c r="V278">
        <f>S278-U278</f>
        <v>47500.958094010479</v>
      </c>
      <c r="W278" s="30">
        <f>V278/S278*100</f>
        <v>6.08533401872163</v>
      </c>
    </row>
    <row r="279" spans="1:23">
      <c r="A279" s="1" t="s">
        <v>79</v>
      </c>
      <c r="B279" s="3">
        <v>45689</v>
      </c>
      <c r="C279" s="1" t="s">
        <v>15</v>
      </c>
      <c r="D279" s="1">
        <f>IF(C279="East",1,0)</f>
        <v>1</v>
      </c>
      <c r="E279" s="1">
        <f>IF(C279="West",1,0)</f>
        <v>0</v>
      </c>
      <c r="F279" s="1">
        <f>IF(C279="North",1,0)</f>
        <v>0</v>
      </c>
      <c r="G279" s="1" t="s">
        <v>18</v>
      </c>
      <c r="H279" s="1">
        <f>IF(G279="Residential",1,0)</f>
        <v>0</v>
      </c>
      <c r="I279" s="1">
        <f>IF(G279="High Street",1,0)</f>
        <v>1</v>
      </c>
      <c r="J279" s="1">
        <f>IF(G279="Mall",1,0)</f>
        <v>0</v>
      </c>
      <c r="K279" s="1">
        <v>113736</v>
      </c>
      <c r="L279" s="1">
        <v>8961</v>
      </c>
      <c r="M279" s="1">
        <v>0.20200000000000001</v>
      </c>
      <c r="N279" s="1">
        <v>24</v>
      </c>
      <c r="O279" s="1">
        <v>86.2</v>
      </c>
      <c r="P279" s="1">
        <v>21.63</v>
      </c>
      <c r="Q279" s="1">
        <v>0</v>
      </c>
      <c r="R279" s="1">
        <v>4</v>
      </c>
      <c r="S279" s="1">
        <v>870937.4</v>
      </c>
      <c r="T279" s="1">
        <v>175282.74</v>
      </c>
      <c r="U279">
        <f>146249.7963 + (33.6835738*L279) + (1.176703422*K279) + (3062.934007*O279) + (-39654.57312*H279) + (-22957.90276*I279) + (-11306.62502*J279)</f>
        <v>822988.85016979196</v>
      </c>
      <c r="V279">
        <f>S279-U279</f>
        <v>47948.549830208067</v>
      </c>
      <c r="W279" s="30">
        <f>V279/S279*100</f>
        <v>5.5053956610668076</v>
      </c>
    </row>
    <row r="280" spans="1:23">
      <c r="A280" s="1" t="s">
        <v>37</v>
      </c>
      <c r="B280" s="3">
        <v>45748</v>
      </c>
      <c r="C280" s="1" t="s">
        <v>24</v>
      </c>
      <c r="D280" s="1">
        <f>IF(C280="East",1,0)</f>
        <v>0</v>
      </c>
      <c r="E280" s="1">
        <f>IF(C280="West",1,0)</f>
        <v>0</v>
      </c>
      <c r="F280" s="1">
        <f>IF(C280="North",1,0)</f>
        <v>0</v>
      </c>
      <c r="G280" s="1" t="s">
        <v>18</v>
      </c>
      <c r="H280" s="1">
        <f>IF(G280="Residential",1,0)</f>
        <v>0</v>
      </c>
      <c r="I280" s="1">
        <f>IF(G280="High Street",1,0)</f>
        <v>1</v>
      </c>
      <c r="J280" s="1">
        <f>IF(G280="Mall",1,0)</f>
        <v>0</v>
      </c>
      <c r="K280" s="1">
        <v>74954.47</v>
      </c>
      <c r="L280" s="1">
        <v>6620</v>
      </c>
      <c r="M280" s="1">
        <v>5.3999999999999999E-2</v>
      </c>
      <c r="N280" s="1">
        <v>17</v>
      </c>
      <c r="O280" s="1">
        <v>91.1</v>
      </c>
      <c r="P280" s="1">
        <v>1.1100000000000001</v>
      </c>
      <c r="Q280" s="1">
        <v>0</v>
      </c>
      <c r="R280" s="1">
        <v>3.5</v>
      </c>
      <c r="S280" s="1">
        <v>761860.19</v>
      </c>
      <c r="T280" s="1">
        <v>133279.38</v>
      </c>
      <c r="U280">
        <f>146249.7963 + (33.6835738*L280) + (1.176703422*K280) + (3062.934007*O280) + (-39654.57312*H280) + (-22957.90276*I280) + (-11306.62502*J280)</f>
        <v>713509.62147689634</v>
      </c>
      <c r="V280">
        <f>S280-U280</f>
        <v>48350.568523103604</v>
      </c>
      <c r="W280" s="30">
        <f>V280/S280*100</f>
        <v>6.3463833860519223</v>
      </c>
    </row>
    <row r="281" spans="1:23">
      <c r="A281" s="1" t="s">
        <v>86</v>
      </c>
      <c r="B281" s="3">
        <v>45748</v>
      </c>
      <c r="C281" s="1" t="s">
        <v>24</v>
      </c>
      <c r="D281" s="1">
        <f>IF(C281="East",1,0)</f>
        <v>0</v>
      </c>
      <c r="E281" s="1">
        <f>IF(C281="West",1,0)</f>
        <v>0</v>
      </c>
      <c r="F281" s="1">
        <f>IF(C281="North",1,0)</f>
        <v>0</v>
      </c>
      <c r="G281" s="1" t="s">
        <v>28</v>
      </c>
      <c r="H281" s="1">
        <f>IF(G281="Residential",1,0)</f>
        <v>0</v>
      </c>
      <c r="I281" s="1">
        <f>IF(G281="High Street",1,0)</f>
        <v>0</v>
      </c>
      <c r="J281" s="1">
        <f>IF(G281="Mall",1,0)</f>
        <v>1</v>
      </c>
      <c r="K281" s="1">
        <v>38397.82</v>
      </c>
      <c r="L281" s="1">
        <v>7836</v>
      </c>
      <c r="M281" s="1">
        <v>7.0000000000000001E-3</v>
      </c>
      <c r="N281" s="1">
        <v>21</v>
      </c>
      <c r="O281" s="1">
        <v>92.2</v>
      </c>
      <c r="P281" s="1">
        <v>1.82</v>
      </c>
      <c r="Q281" s="1">
        <v>0</v>
      </c>
      <c r="R281" s="1">
        <v>3.6</v>
      </c>
      <c r="S281" s="1">
        <v>776110.32</v>
      </c>
      <c r="T281" s="1">
        <v>139676.21</v>
      </c>
      <c r="U281">
        <f>146249.7963 + (33.6835738*L281) + (1.176703422*K281) + (3062.934007*O281) + (-39654.57312*H281) + (-22957.90276*I281) + (-11306.62502*J281)</f>
        <v>726473.01721354004</v>
      </c>
      <c r="V281">
        <f>S281-U281</f>
        <v>49637.302786459913</v>
      </c>
      <c r="W281" s="30">
        <f>V281/S281*100</f>
        <v>6.3956504001209407</v>
      </c>
    </row>
    <row r="282" spans="1:23">
      <c r="A282" s="1" t="s">
        <v>22</v>
      </c>
      <c r="B282" s="3">
        <v>45658</v>
      </c>
      <c r="C282" s="1" t="s">
        <v>15</v>
      </c>
      <c r="D282" s="1">
        <f>IF(C282="East",1,0)</f>
        <v>1</v>
      </c>
      <c r="E282" s="1">
        <f>IF(C282="West",1,0)</f>
        <v>0</v>
      </c>
      <c r="F282" s="1">
        <f>IF(C282="North",1,0)</f>
        <v>0</v>
      </c>
      <c r="G282" s="1" t="s">
        <v>16</v>
      </c>
      <c r="H282" s="1">
        <f>IF(G282="Residential",1,0)</f>
        <v>1</v>
      </c>
      <c r="I282" s="1">
        <f>IF(G282="High Street",1,0)</f>
        <v>0</v>
      </c>
      <c r="J282" s="1">
        <f>IF(G282="Mall",1,0)</f>
        <v>0</v>
      </c>
      <c r="K282" s="1">
        <v>71828.259999999995</v>
      </c>
      <c r="L282" s="1">
        <v>12775</v>
      </c>
      <c r="M282" s="1">
        <v>0.11600000000000001</v>
      </c>
      <c r="N282" s="1">
        <v>30</v>
      </c>
      <c r="O282" s="1">
        <v>81.7</v>
      </c>
      <c r="P282" s="1">
        <v>4.24</v>
      </c>
      <c r="Q282" s="1">
        <v>1</v>
      </c>
      <c r="R282" s="1">
        <v>4.2</v>
      </c>
      <c r="S282" s="1">
        <v>922168.6</v>
      </c>
      <c r="T282" s="1">
        <v>107494.53</v>
      </c>
      <c r="U282">
        <f>146249.7963 + (33.6835738*L282) + (1.176703422*K282) + (3062.934007*O282) + (-39654.57312*H282) + (-22957.90276*I282) + (-11306.62502*J282)</f>
        <v>871665.14618520578</v>
      </c>
      <c r="V282">
        <f>S282-U282</f>
        <v>50503.453814794193</v>
      </c>
      <c r="W282" s="30">
        <f>V282/S282*100</f>
        <v>5.4765965588932648</v>
      </c>
    </row>
    <row r="283" spans="1:23">
      <c r="A283" s="1" t="s">
        <v>75</v>
      </c>
      <c r="B283" s="3">
        <v>45658</v>
      </c>
      <c r="C283" s="1" t="s">
        <v>27</v>
      </c>
      <c r="D283" s="1">
        <f>IF(C283="East",1,0)</f>
        <v>0</v>
      </c>
      <c r="E283" s="1">
        <f>IF(C283="West",1,0)</f>
        <v>1</v>
      </c>
      <c r="F283" s="1">
        <f>IF(C283="North",1,0)</f>
        <v>0</v>
      </c>
      <c r="G283" s="1" t="s">
        <v>16</v>
      </c>
      <c r="H283" s="1">
        <f>IF(G283="Residential",1,0)</f>
        <v>1</v>
      </c>
      <c r="I283" s="1">
        <f>IF(G283="High Street",1,0)</f>
        <v>0</v>
      </c>
      <c r="J283" s="1">
        <f>IF(G283="Mall",1,0)</f>
        <v>0</v>
      </c>
      <c r="K283" s="1">
        <v>50887.46</v>
      </c>
      <c r="L283" s="1">
        <v>9505</v>
      </c>
      <c r="M283" s="1">
        <v>9.0999999999999998E-2</v>
      </c>
      <c r="N283" s="1">
        <v>25</v>
      </c>
      <c r="O283" s="1">
        <v>89.7</v>
      </c>
      <c r="P283" s="1">
        <v>2.8</v>
      </c>
      <c r="Q283" s="1">
        <v>0</v>
      </c>
      <c r="R283" s="1">
        <v>4.3</v>
      </c>
      <c r="S283" s="1">
        <v>812152.6</v>
      </c>
      <c r="T283" s="1">
        <v>138419.43</v>
      </c>
      <c r="U283">
        <f>146249.7963 + (33.6835738*L283) + (1.176703422*K283) + (3062.934007*O283) + (-39654.57312*H283) + (-22957.90276*I283) + (-11306.62502*J283)</f>
        <v>761382.22089578805</v>
      </c>
      <c r="V283">
        <f>S283-U283</f>
        <v>50770.379104211926</v>
      </c>
      <c r="W283" s="30">
        <f>V283/S283*100</f>
        <v>6.2513349220592191</v>
      </c>
    </row>
    <row r="284" spans="1:23">
      <c r="A284" s="1" t="s">
        <v>41</v>
      </c>
      <c r="B284" s="3">
        <v>45717</v>
      </c>
      <c r="C284" s="1" t="s">
        <v>24</v>
      </c>
      <c r="D284" s="1">
        <f>IF(C284="East",1,0)</f>
        <v>0</v>
      </c>
      <c r="E284" s="1">
        <f>IF(C284="West",1,0)</f>
        <v>0</v>
      </c>
      <c r="F284" s="1">
        <f>IF(C284="North",1,0)</f>
        <v>0</v>
      </c>
      <c r="G284" s="1" t="s">
        <v>18</v>
      </c>
      <c r="H284" s="1">
        <f>IF(G284="Residential",1,0)</f>
        <v>0</v>
      </c>
      <c r="I284" s="1">
        <f>IF(G284="High Street",1,0)</f>
        <v>1</v>
      </c>
      <c r="J284" s="1">
        <f>IF(G284="Mall",1,0)</f>
        <v>0</v>
      </c>
      <c r="K284" s="1">
        <v>80562.81</v>
      </c>
      <c r="L284" s="1">
        <v>7470</v>
      </c>
      <c r="M284" s="1">
        <v>0.17199999999999999</v>
      </c>
      <c r="N284" s="1">
        <v>16</v>
      </c>
      <c r="O284" s="1">
        <v>83.5</v>
      </c>
      <c r="P284" s="1">
        <v>2.29</v>
      </c>
      <c r="Q284" s="1">
        <v>0</v>
      </c>
      <c r="R284" s="1">
        <v>3.3</v>
      </c>
      <c r="S284" s="1">
        <v>776922.17</v>
      </c>
      <c r="T284" s="1">
        <v>150701.93</v>
      </c>
      <c r="U284">
        <f>146249.7963 + (33.6835738*L284) + (1.176703422*K284) + (3062.934007*O284) + (-39654.57312*H284) + (-22957.90276*I284) + (-11306.62502*J284)</f>
        <v>725461.71362343582</v>
      </c>
      <c r="V284">
        <f>S284-U284</f>
        <v>51460.456376564223</v>
      </c>
      <c r="W284" s="30">
        <f>V284/S284*100</f>
        <v>6.6236308299149478</v>
      </c>
    </row>
    <row r="285" spans="1:23">
      <c r="A285" s="1" t="s">
        <v>37</v>
      </c>
      <c r="B285" s="3">
        <v>45689</v>
      </c>
      <c r="C285" s="1" t="s">
        <v>24</v>
      </c>
      <c r="D285" s="1">
        <f>IF(C285="East",1,0)</f>
        <v>0</v>
      </c>
      <c r="E285" s="1">
        <f>IF(C285="West",1,0)</f>
        <v>0</v>
      </c>
      <c r="F285" s="1">
        <f>IF(C285="North",1,0)</f>
        <v>0</v>
      </c>
      <c r="G285" s="1" t="s">
        <v>18</v>
      </c>
      <c r="H285" s="1">
        <f>IF(G285="Residential",1,0)</f>
        <v>0</v>
      </c>
      <c r="I285" s="1">
        <f>IF(G285="High Street",1,0)</f>
        <v>1</v>
      </c>
      <c r="J285" s="1">
        <f>IF(G285="Mall",1,0)</f>
        <v>0</v>
      </c>
      <c r="K285" s="1">
        <v>37284.660000000003</v>
      </c>
      <c r="L285" s="1">
        <v>3928</v>
      </c>
      <c r="M285" s="1">
        <v>7.3999999999999996E-2</v>
      </c>
      <c r="N285" s="1">
        <v>12</v>
      </c>
      <c r="O285" s="1">
        <v>86.5</v>
      </c>
      <c r="P285" s="1">
        <v>1.64</v>
      </c>
      <c r="Q285" s="1">
        <v>0</v>
      </c>
      <c r="R285" s="1">
        <v>3.8</v>
      </c>
      <c r="S285" s="1">
        <v>615966.48</v>
      </c>
      <c r="T285" s="1">
        <v>91509.38</v>
      </c>
      <c r="U285">
        <f>146249.7963 + (33.6835738*L285) + (1.176703422*K285) + (3062.934007*O285) + (-39654.57312*H285) + (-22957.90276*I285) + (-11306.62502*J285)</f>
        <v>564417.75004200661</v>
      </c>
      <c r="V285">
        <f>S285-U285</f>
        <v>51548.729957993375</v>
      </c>
      <c r="W285" s="30">
        <f>V285/S285*100</f>
        <v>8.3687557085887825</v>
      </c>
    </row>
    <row r="286" spans="1:23">
      <c r="A286" s="1" t="s">
        <v>42</v>
      </c>
      <c r="B286" s="3">
        <v>45689</v>
      </c>
      <c r="C286" s="1" t="s">
        <v>27</v>
      </c>
      <c r="D286" s="1">
        <f>IF(C286="East",1,0)</f>
        <v>0</v>
      </c>
      <c r="E286" s="1">
        <f>IF(C286="West",1,0)</f>
        <v>1</v>
      </c>
      <c r="F286" s="1">
        <f>IF(C286="North",1,0)</f>
        <v>0</v>
      </c>
      <c r="G286" s="1" t="s">
        <v>28</v>
      </c>
      <c r="H286" s="1">
        <f>IF(G286="Residential",1,0)</f>
        <v>0</v>
      </c>
      <c r="I286" s="1">
        <f>IF(G286="High Street",1,0)</f>
        <v>0</v>
      </c>
      <c r="J286" s="1">
        <f>IF(G286="Mall",1,0)</f>
        <v>1</v>
      </c>
      <c r="K286" s="1">
        <v>60628.38</v>
      </c>
      <c r="L286" s="1">
        <v>4451</v>
      </c>
      <c r="M286" s="1">
        <v>9.5000000000000001E-2</v>
      </c>
      <c r="N286" s="1">
        <v>10</v>
      </c>
      <c r="O286" s="1">
        <v>89.6</v>
      </c>
      <c r="P286" s="1">
        <v>3.17</v>
      </c>
      <c r="Q286" s="1">
        <v>0</v>
      </c>
      <c r="R286" s="1">
        <v>4.5999999999999996</v>
      </c>
      <c r="S286" s="1">
        <v>682208.01</v>
      </c>
      <c r="T286" s="1">
        <v>110318.84</v>
      </c>
      <c r="U286">
        <f>146249.7963 + (33.6835738*L286) + (1.176703422*K286) + (3062.934007*O286) + (-39654.57312*H286) + (-22957.90276*I286) + (-11306.62502*J286)</f>
        <v>630649.2675073162</v>
      </c>
      <c r="V286">
        <f>S286-U286</f>
        <v>51558.742492683814</v>
      </c>
      <c r="W286" s="30">
        <f>V286/S286*100</f>
        <v>7.5576278403245105</v>
      </c>
    </row>
    <row r="287" spans="1:23">
      <c r="A287" s="1" t="s">
        <v>66</v>
      </c>
      <c r="B287" s="3">
        <v>45748</v>
      </c>
      <c r="C287" s="1" t="s">
        <v>27</v>
      </c>
      <c r="D287" s="1">
        <f>IF(C287="East",1,0)</f>
        <v>0</v>
      </c>
      <c r="E287" s="1">
        <f>IF(C287="West",1,0)</f>
        <v>1</v>
      </c>
      <c r="F287" s="1">
        <f>IF(C287="North",1,0)</f>
        <v>0</v>
      </c>
      <c r="G287" s="1" t="s">
        <v>21</v>
      </c>
      <c r="H287" s="1">
        <f>IF(G287="Residential",1,0)</f>
        <v>0</v>
      </c>
      <c r="I287" s="1">
        <f>IF(G287="High Street",1,0)</f>
        <v>0</v>
      </c>
      <c r="J287" s="1">
        <f>IF(G287="Mall",1,0)</f>
        <v>0</v>
      </c>
      <c r="K287" s="1">
        <v>74881.56</v>
      </c>
      <c r="L287" s="1">
        <v>9999</v>
      </c>
      <c r="M287" s="1">
        <v>1.2999999999999999E-2</v>
      </c>
      <c r="N287" s="1">
        <v>20</v>
      </c>
      <c r="O287" s="1">
        <v>89.6</v>
      </c>
      <c r="P287" s="1">
        <v>8.44</v>
      </c>
      <c r="Q287" s="1">
        <v>0</v>
      </c>
      <c r="R287" s="1">
        <v>4.0999999999999996</v>
      </c>
      <c r="S287" s="1">
        <v>898031.04</v>
      </c>
      <c r="T287" s="1">
        <v>138666.5</v>
      </c>
      <c r="U287">
        <f>146249.7963 + (33.6835738*L287) + (1.176703422*K287) + (3062.934007*O287) + (-39654.57312*H287) + (-22957.90276*I287) + (-11306.62502*J287)</f>
        <v>845604.12565009831</v>
      </c>
      <c r="V287">
        <f>S287-U287</f>
        <v>52426.914349901723</v>
      </c>
      <c r="W287" s="30">
        <f>V287/S287*100</f>
        <v>5.8379846591830189</v>
      </c>
    </row>
    <row r="288" spans="1:23">
      <c r="A288" s="1" t="s">
        <v>75</v>
      </c>
      <c r="B288" s="3">
        <v>45689</v>
      </c>
      <c r="C288" s="1" t="s">
        <v>27</v>
      </c>
      <c r="D288" s="1">
        <f>IF(C288="East",1,0)</f>
        <v>0</v>
      </c>
      <c r="E288" s="1">
        <f>IF(C288="West",1,0)</f>
        <v>1</v>
      </c>
      <c r="F288" s="1">
        <f>IF(C288="North",1,0)</f>
        <v>0</v>
      </c>
      <c r="G288" s="1" t="s">
        <v>16</v>
      </c>
      <c r="H288" s="1">
        <f>IF(G288="Residential",1,0)</f>
        <v>1</v>
      </c>
      <c r="I288" s="1">
        <f>IF(G288="High Street",1,0)</f>
        <v>0</v>
      </c>
      <c r="J288" s="1">
        <f>IF(G288="Mall",1,0)</f>
        <v>0</v>
      </c>
      <c r="K288" s="1">
        <v>41819.449999999997</v>
      </c>
      <c r="L288" s="1">
        <v>9412</v>
      </c>
      <c r="M288" s="1">
        <v>0.15</v>
      </c>
      <c r="N288" s="1">
        <v>22</v>
      </c>
      <c r="O288" s="1">
        <v>91</v>
      </c>
      <c r="P288" s="1">
        <v>3.67</v>
      </c>
      <c r="Q288" s="1">
        <v>0</v>
      </c>
      <c r="R288" s="1">
        <v>4.2</v>
      </c>
      <c r="S288" s="1">
        <v>804975.5</v>
      </c>
      <c r="T288" s="1">
        <v>140054.5</v>
      </c>
      <c r="U288">
        <f>146249.7963 + (33.6835738*L288) + (1.176703422*K288) + (3062.934007*O288) + (-39654.57312*H288) + (-22957.90276*I288) + (-11306.62502*J288)</f>
        <v>751561.10434375785</v>
      </c>
      <c r="V288">
        <f>S288-U288</f>
        <v>53414.395656242152</v>
      </c>
      <c r="W288" s="30">
        <f>V288/S288*100</f>
        <v>6.6355306038807589</v>
      </c>
    </row>
    <row r="289" spans="1:23">
      <c r="A289" s="1" t="s">
        <v>98</v>
      </c>
      <c r="B289" s="3">
        <v>45717</v>
      </c>
      <c r="C289" s="1" t="s">
        <v>24</v>
      </c>
      <c r="D289" s="1">
        <f>IF(C289="East",1,0)</f>
        <v>0</v>
      </c>
      <c r="E289" s="1">
        <f>IF(C289="West",1,0)</f>
        <v>0</v>
      </c>
      <c r="F289" s="1">
        <f>IF(C289="North",1,0)</f>
        <v>0</v>
      </c>
      <c r="G289" s="1" t="s">
        <v>16</v>
      </c>
      <c r="H289" s="1">
        <f>IF(G289="Residential",1,0)</f>
        <v>1</v>
      </c>
      <c r="I289" s="1">
        <f>IF(G289="High Street",1,0)</f>
        <v>0</v>
      </c>
      <c r="J289" s="1">
        <f>IF(G289="Mall",1,0)</f>
        <v>0</v>
      </c>
      <c r="K289" s="1">
        <v>22387.26</v>
      </c>
      <c r="L289" s="1">
        <v>6301</v>
      </c>
      <c r="M289" s="1">
        <v>0.14599999999999999</v>
      </c>
      <c r="N289" s="1">
        <v>14</v>
      </c>
      <c r="O289" s="1">
        <v>85.9</v>
      </c>
      <c r="P289" s="1">
        <v>1.17</v>
      </c>
      <c r="Q289" s="1">
        <v>1</v>
      </c>
      <c r="R289" s="1">
        <v>3.7</v>
      </c>
      <c r="S289" s="1">
        <v>665342.49</v>
      </c>
      <c r="T289" s="1">
        <v>93441.81</v>
      </c>
      <c r="U289">
        <f>146249.7963 + (33.6835738*L289) + (1.176703422*K289) + (3062.934007*O289) + (-39654.57312*H289) + (-22957.90276*I289) + (-11306.62502*J289)</f>
        <v>608284.6183463037</v>
      </c>
      <c r="V289">
        <f>S289-U289</f>
        <v>57057.871653696289</v>
      </c>
      <c r="W289" s="30">
        <f>V289/S289*100</f>
        <v>8.5757143893960972</v>
      </c>
    </row>
    <row r="290" spans="1:23">
      <c r="A290" s="1" t="s">
        <v>66</v>
      </c>
      <c r="B290" s="3">
        <v>45689</v>
      </c>
      <c r="C290" s="1" t="s">
        <v>27</v>
      </c>
      <c r="D290" s="1">
        <f>IF(C290="East",1,0)</f>
        <v>0</v>
      </c>
      <c r="E290" s="1">
        <f>IF(C290="West",1,0)</f>
        <v>1</v>
      </c>
      <c r="F290" s="1">
        <f>IF(C290="North",1,0)</f>
        <v>0</v>
      </c>
      <c r="G290" s="1" t="s">
        <v>21</v>
      </c>
      <c r="H290" s="1">
        <f>IF(G290="Residential",1,0)</f>
        <v>0</v>
      </c>
      <c r="I290" s="1">
        <f>IF(G290="High Street",1,0)</f>
        <v>0</v>
      </c>
      <c r="J290" s="1">
        <f>IF(G290="Mall",1,0)</f>
        <v>0</v>
      </c>
      <c r="K290" s="1">
        <v>29389.32</v>
      </c>
      <c r="L290" s="1">
        <v>7925</v>
      </c>
      <c r="M290" s="1">
        <v>0.17699999999999999</v>
      </c>
      <c r="N290" s="1">
        <v>21</v>
      </c>
      <c r="O290" s="1">
        <v>90.9</v>
      </c>
      <c r="P290" s="1">
        <v>7.86</v>
      </c>
      <c r="Q290" s="1">
        <v>0</v>
      </c>
      <c r="R290" s="1">
        <v>4</v>
      </c>
      <c r="S290" s="1">
        <v>783582</v>
      </c>
      <c r="T290" s="1">
        <v>130670.93</v>
      </c>
      <c r="U290">
        <f>146249.7963 + (33.6835738*L290) + (1.176703422*K290) + (3062.934007*O290) + (-39654.57312*H290) + (-22957.90276*I290) + (-11306.62502*J290)</f>
        <v>726195.33331555291</v>
      </c>
      <c r="V290">
        <f>S290-U290</f>
        <v>57386.666684447089</v>
      </c>
      <c r="W290" s="30">
        <f>V290/S290*100</f>
        <v>7.3236325852874486</v>
      </c>
    </row>
    <row r="291" spans="1:23">
      <c r="A291" s="1" t="s">
        <v>71</v>
      </c>
      <c r="B291" s="3">
        <v>45658</v>
      </c>
      <c r="C291" s="1" t="s">
        <v>20</v>
      </c>
      <c r="D291" s="1">
        <f>IF(C291="East",1,0)</f>
        <v>0</v>
      </c>
      <c r="E291" s="1">
        <f>IF(C291="West",1,0)</f>
        <v>0</v>
      </c>
      <c r="F291" s="1">
        <f>IF(C291="North",1,0)</f>
        <v>1</v>
      </c>
      <c r="G291" s="1" t="s">
        <v>16</v>
      </c>
      <c r="H291" s="1">
        <f>IF(G291="Residential",1,0)</f>
        <v>1</v>
      </c>
      <c r="I291" s="1">
        <f>IF(G291="High Street",1,0)</f>
        <v>0</v>
      </c>
      <c r="J291" s="1">
        <f>IF(G291="Mall",1,0)</f>
        <v>0</v>
      </c>
      <c r="K291" s="1">
        <v>71851.45</v>
      </c>
      <c r="L291" s="1">
        <v>4970</v>
      </c>
      <c r="M291" s="1">
        <v>9.8000000000000004E-2</v>
      </c>
      <c r="N291" s="1">
        <v>11</v>
      </c>
      <c r="O291" s="1">
        <v>89.6</v>
      </c>
      <c r="P291" s="1">
        <v>0.2</v>
      </c>
      <c r="Q291" s="1">
        <v>0</v>
      </c>
      <c r="R291" s="1">
        <v>4.2</v>
      </c>
      <c r="S291" s="1">
        <v>691447.43</v>
      </c>
      <c r="T291" s="1">
        <v>114077.69</v>
      </c>
      <c r="U291">
        <f>146249.7963 + (33.6835738*L291) + (1.176703422*K291) + (3062.934007*O291) + (-39654.57312*H291) + (-22957.90276*I291) + (-11306.62502*J291)</f>
        <v>632989.31908386189</v>
      </c>
      <c r="V291">
        <f>S291-U291</f>
        <v>58458.110916138161</v>
      </c>
      <c r="W291" s="30">
        <f>V291/S291*100</f>
        <v>8.4544548695680533</v>
      </c>
    </row>
    <row r="292" spans="1:23">
      <c r="A292" s="1" t="s">
        <v>19</v>
      </c>
      <c r="B292" s="3">
        <v>45658</v>
      </c>
      <c r="C292" s="1" t="s">
        <v>20</v>
      </c>
      <c r="D292" s="1">
        <f>IF(C292="East",1,0)</f>
        <v>0</v>
      </c>
      <c r="E292" s="1">
        <f>IF(C292="West",1,0)</f>
        <v>0</v>
      </c>
      <c r="F292" s="1">
        <f>IF(C292="North",1,0)</f>
        <v>1</v>
      </c>
      <c r="G292" s="1" t="s">
        <v>21</v>
      </c>
      <c r="H292" s="1">
        <f>IF(G292="Residential",1,0)</f>
        <v>0</v>
      </c>
      <c r="I292" s="1">
        <f>IF(G292="High Street",1,0)</f>
        <v>0</v>
      </c>
      <c r="J292" s="1">
        <f>IF(G292="Mall",1,0)</f>
        <v>0</v>
      </c>
      <c r="K292" s="1">
        <v>71838.86</v>
      </c>
      <c r="L292" s="1">
        <v>10979</v>
      </c>
      <c r="M292" s="1">
        <v>0.215</v>
      </c>
      <c r="N292" s="1">
        <v>26</v>
      </c>
      <c r="O292" s="1">
        <v>88.6</v>
      </c>
      <c r="P292" s="1">
        <v>7.7</v>
      </c>
      <c r="Q292" s="1">
        <v>1</v>
      </c>
      <c r="R292" s="1">
        <v>3.8</v>
      </c>
      <c r="S292" s="1">
        <v>930581.7</v>
      </c>
      <c r="T292" s="1">
        <v>136207.98000000001</v>
      </c>
      <c r="U292">
        <f>146249.7963 + (33.6835738*L292) + (1.176703422*K292) + (3062.934007*O292) + (-39654.57312*H292) + (-22957.90276*I292) + (-11306.62502*J292)</f>
        <v>871970.73846497876</v>
      </c>
      <c r="V292">
        <f>S292-U292</f>
        <v>58610.961535021197</v>
      </c>
      <c r="W292" s="30">
        <f>V292/S292*100</f>
        <v>6.2983144344038999</v>
      </c>
    </row>
    <row r="293" spans="1:23">
      <c r="A293" s="1" t="s">
        <v>61</v>
      </c>
      <c r="B293" s="3">
        <v>45717</v>
      </c>
      <c r="C293" s="1" t="s">
        <v>20</v>
      </c>
      <c r="D293" s="1">
        <f>IF(C293="East",1,0)</f>
        <v>0</v>
      </c>
      <c r="E293" s="1">
        <f>IF(C293="West",1,0)</f>
        <v>0</v>
      </c>
      <c r="F293" s="1">
        <f>IF(C293="North",1,0)</f>
        <v>1</v>
      </c>
      <c r="G293" s="1" t="s">
        <v>28</v>
      </c>
      <c r="H293" s="1">
        <f>IF(G293="Residential",1,0)</f>
        <v>0</v>
      </c>
      <c r="I293" s="1">
        <f>IF(G293="High Street",1,0)</f>
        <v>0</v>
      </c>
      <c r="J293" s="1">
        <f>IF(G293="Mall",1,0)</f>
        <v>1</v>
      </c>
      <c r="K293" s="1">
        <v>56918.16</v>
      </c>
      <c r="L293" s="1">
        <v>7015</v>
      </c>
      <c r="M293" s="1">
        <v>0.158</v>
      </c>
      <c r="N293" s="1">
        <v>18</v>
      </c>
      <c r="O293" s="1">
        <v>74.2</v>
      </c>
      <c r="P293" s="1">
        <v>0.2</v>
      </c>
      <c r="Q293" s="1">
        <v>0</v>
      </c>
      <c r="R293" s="1">
        <v>3.4</v>
      </c>
      <c r="S293" s="1">
        <v>724216.07</v>
      </c>
      <c r="T293" s="1">
        <v>100627.56</v>
      </c>
      <c r="U293">
        <f>146249.7963 + (33.6835738*L293) + (1.176703422*K293) + (3062.934007*O293) + (-39654.57312*H293) + (-22957.90276*I293) + (-11306.62502*J293)</f>
        <v>665478.93845234346</v>
      </c>
      <c r="V293">
        <f>S293-U293</f>
        <v>58737.131547656492</v>
      </c>
      <c r="W293" s="30">
        <f>V293/S293*100</f>
        <v>8.1104429990978382</v>
      </c>
    </row>
    <row r="294" spans="1:23">
      <c r="A294" s="1" t="s">
        <v>32</v>
      </c>
      <c r="B294" s="3">
        <v>45717</v>
      </c>
      <c r="C294" s="1" t="s">
        <v>15</v>
      </c>
      <c r="D294" s="1">
        <f>IF(C294="East",1,0)</f>
        <v>1</v>
      </c>
      <c r="E294" s="1">
        <f>IF(C294="West",1,0)</f>
        <v>0</v>
      </c>
      <c r="F294" s="1">
        <f>IF(C294="North",1,0)</f>
        <v>0</v>
      </c>
      <c r="G294" s="1" t="s">
        <v>28</v>
      </c>
      <c r="H294" s="1">
        <f>IF(G294="Residential",1,0)</f>
        <v>0</v>
      </c>
      <c r="I294" s="1">
        <f>IF(G294="High Street",1,0)</f>
        <v>0</v>
      </c>
      <c r="J294" s="1">
        <f>IF(G294="Mall",1,0)</f>
        <v>1</v>
      </c>
      <c r="K294" s="1">
        <v>68077.539999999994</v>
      </c>
      <c r="L294" s="1">
        <v>3360</v>
      </c>
      <c r="M294" s="1">
        <v>0.128</v>
      </c>
      <c r="N294" s="1">
        <v>14</v>
      </c>
      <c r="O294" s="1">
        <v>88.2</v>
      </c>
      <c r="P294" s="1">
        <v>1.24</v>
      </c>
      <c r="Q294" s="1">
        <v>1</v>
      </c>
      <c r="R294" s="1">
        <v>4</v>
      </c>
      <c r="S294" s="1">
        <v>657429.18000000005</v>
      </c>
      <c r="T294" s="1">
        <v>88919.74</v>
      </c>
      <c r="U294">
        <f>146249.7963 + (33.6835738*L294) + (1.176703422*K294) + (3062.934007*O294) + (-39654.57312*H294) + (-22957.90276*I294) + (-11306.62502*J294)</f>
        <v>598377.83294474182</v>
      </c>
      <c r="V294">
        <f>S294-U294</f>
        <v>59051.347055258229</v>
      </c>
      <c r="W294" s="30">
        <f>V294/S294*100</f>
        <v>8.9821609462570891</v>
      </c>
    </row>
    <row r="295" spans="1:23">
      <c r="A295" s="1" t="s">
        <v>53</v>
      </c>
      <c r="B295" s="3">
        <v>45717</v>
      </c>
      <c r="C295" s="1" t="s">
        <v>24</v>
      </c>
      <c r="D295" s="1">
        <f>IF(C295="East",1,0)</f>
        <v>0</v>
      </c>
      <c r="E295" s="1">
        <f>IF(C295="West",1,0)</f>
        <v>0</v>
      </c>
      <c r="F295" s="1">
        <f>IF(C295="North",1,0)</f>
        <v>0</v>
      </c>
      <c r="G295" s="1" t="s">
        <v>18</v>
      </c>
      <c r="H295" s="1">
        <f>IF(G295="Residential",1,0)</f>
        <v>0</v>
      </c>
      <c r="I295" s="1">
        <f>IF(G295="High Street",1,0)</f>
        <v>1</v>
      </c>
      <c r="J295" s="1">
        <f>IF(G295="Mall",1,0)</f>
        <v>0</v>
      </c>
      <c r="K295" s="1">
        <v>56517.9</v>
      </c>
      <c r="L295" s="1">
        <v>9574</v>
      </c>
      <c r="M295" s="1">
        <v>0.20399999999999999</v>
      </c>
      <c r="N295" s="1">
        <v>20</v>
      </c>
      <c r="O295" s="1">
        <v>88.2</v>
      </c>
      <c r="P295" s="1">
        <v>5.37</v>
      </c>
      <c r="Q295" s="1">
        <v>1</v>
      </c>
      <c r="R295" s="1">
        <v>4.9000000000000004</v>
      </c>
      <c r="S295" s="1">
        <v>842157.92</v>
      </c>
      <c r="T295" s="1">
        <v>107348.22</v>
      </c>
      <c r="U295">
        <f>146249.7963 + (33.6835738*L295) + (1.176703422*K295) + (3062.934007*O295) + (-39654.57312*H295) + (-22957.90276*I295) + (-11306.62502*J295)</f>
        <v>782434.01485285384</v>
      </c>
      <c r="V295">
        <f>S295-U295</f>
        <v>59723.905147146201</v>
      </c>
      <c r="W295" s="30">
        <f>V295/S295*100</f>
        <v>7.0917702878275133</v>
      </c>
    </row>
    <row r="296" spans="1:23">
      <c r="A296" s="1" t="s">
        <v>80</v>
      </c>
      <c r="B296" s="3">
        <v>45658</v>
      </c>
      <c r="C296" s="1" t="s">
        <v>27</v>
      </c>
      <c r="D296" s="1">
        <f>IF(C296="East",1,0)</f>
        <v>0</v>
      </c>
      <c r="E296" s="1">
        <f>IF(C296="West",1,0)</f>
        <v>1</v>
      </c>
      <c r="F296" s="1">
        <f>IF(C296="North",1,0)</f>
        <v>0</v>
      </c>
      <c r="G296" s="1" t="s">
        <v>16</v>
      </c>
      <c r="H296" s="1">
        <f>IF(G296="Residential",1,0)</f>
        <v>1</v>
      </c>
      <c r="I296" s="1">
        <f>IF(G296="High Street",1,0)</f>
        <v>0</v>
      </c>
      <c r="J296" s="1">
        <f>IF(G296="Mall",1,0)</f>
        <v>0</v>
      </c>
      <c r="K296" s="1">
        <v>47241.919999999998</v>
      </c>
      <c r="L296" s="1">
        <v>4264</v>
      </c>
      <c r="M296" s="1">
        <v>6.9000000000000006E-2</v>
      </c>
      <c r="N296" s="1">
        <v>13</v>
      </c>
      <c r="O296" s="1">
        <v>95.3</v>
      </c>
      <c r="P296" s="1">
        <v>0.85</v>
      </c>
      <c r="Q296" s="1">
        <v>0</v>
      </c>
      <c r="R296" s="1">
        <v>4.3</v>
      </c>
      <c r="S296" s="1">
        <v>658072.14</v>
      </c>
      <c r="T296" s="1">
        <v>110595.89</v>
      </c>
      <c r="U296">
        <f>146249.7963 + (33.6835738*L296) + (1.176703422*K296) + (3062.934007*O296) + (-39654.57312*H296) + (-22957.90276*I296) + (-11306.62502*J296)</f>
        <v>597709.32165615016</v>
      </c>
      <c r="V296">
        <f>S296-U296</f>
        <v>60362.818343849853</v>
      </c>
      <c r="W296" s="30">
        <f>V296/S296*100</f>
        <v>9.1726749507812091</v>
      </c>
    </row>
    <row r="297" spans="1:23">
      <c r="A297" s="1" t="s">
        <v>39</v>
      </c>
      <c r="B297" s="3">
        <v>45658</v>
      </c>
      <c r="C297" s="1" t="s">
        <v>15</v>
      </c>
      <c r="D297" s="1">
        <f>IF(C297="East",1,0)</f>
        <v>1</v>
      </c>
      <c r="E297" s="1">
        <f>IF(C297="West",1,0)</f>
        <v>0</v>
      </c>
      <c r="F297" s="1">
        <f>IF(C297="North",1,0)</f>
        <v>0</v>
      </c>
      <c r="G297" s="1" t="s">
        <v>18</v>
      </c>
      <c r="H297" s="1">
        <f>IF(G297="Residential",1,0)</f>
        <v>0</v>
      </c>
      <c r="I297" s="1">
        <f>IF(G297="High Street",1,0)</f>
        <v>1</v>
      </c>
      <c r="J297" s="1">
        <f>IF(G297="Mall",1,0)</f>
        <v>0</v>
      </c>
      <c r="K297" s="1">
        <v>70937.240000000005</v>
      </c>
      <c r="L297" s="1">
        <v>3595</v>
      </c>
      <c r="M297" s="1">
        <v>0.14099999999999999</v>
      </c>
      <c r="N297" s="1">
        <v>11</v>
      </c>
      <c r="O297" s="1">
        <v>88.9</v>
      </c>
      <c r="P297" s="1">
        <v>2.83</v>
      </c>
      <c r="Q297" s="1">
        <v>1</v>
      </c>
      <c r="R297" s="1">
        <v>3.3</v>
      </c>
      <c r="S297" s="1">
        <v>661927.14</v>
      </c>
      <c r="T297" s="1">
        <v>79218.570000000007</v>
      </c>
      <c r="U297">
        <f>146249.7963 + (33.6835738*L297) + (1.176703422*K297) + (3062.934007*O297) + (-39654.57312*H297) + (-22957.90276*I297) + (-11306.62502*J297)</f>
        <v>600151.26762853528</v>
      </c>
      <c r="V297">
        <f>S297-U297</f>
        <v>61775.872371464735</v>
      </c>
      <c r="W297" s="30">
        <f>V297/S297*100</f>
        <v>9.3327299393502336</v>
      </c>
    </row>
    <row r="298" spans="1:23">
      <c r="A298" s="1" t="s">
        <v>68</v>
      </c>
      <c r="B298" s="3">
        <v>45717</v>
      </c>
      <c r="C298" s="1" t="s">
        <v>20</v>
      </c>
      <c r="D298" s="1">
        <f>IF(C298="East",1,0)</f>
        <v>0</v>
      </c>
      <c r="E298" s="1">
        <f>IF(C298="West",1,0)</f>
        <v>0</v>
      </c>
      <c r="F298" s="1">
        <f>IF(C298="North",1,0)</f>
        <v>1</v>
      </c>
      <c r="G298" s="1" t="s">
        <v>18</v>
      </c>
      <c r="H298" s="1">
        <f>IF(G298="Residential",1,0)</f>
        <v>0</v>
      </c>
      <c r="I298" s="1">
        <f>IF(G298="High Street",1,0)</f>
        <v>1</v>
      </c>
      <c r="J298" s="1">
        <f>IF(G298="Mall",1,0)</f>
        <v>0</v>
      </c>
      <c r="K298" s="1">
        <v>48031.74</v>
      </c>
      <c r="L298" s="1">
        <v>6516</v>
      </c>
      <c r="M298" s="1">
        <v>6.7000000000000004E-2</v>
      </c>
      <c r="N298" s="1">
        <v>14</v>
      </c>
      <c r="O298" s="1">
        <v>99</v>
      </c>
      <c r="P298" s="1">
        <v>0.48</v>
      </c>
      <c r="Q298" s="1">
        <v>1</v>
      </c>
      <c r="R298" s="1">
        <v>4.3</v>
      </c>
      <c r="S298" s="1">
        <v>765906.95</v>
      </c>
      <c r="T298" s="1">
        <v>114005.9</v>
      </c>
      <c r="U298">
        <f>146249.7963 + (33.6835738*L298) + (1.176703422*K298) + (3062.934007*O298) + (-39654.57312*H298) + (-22957.90276*I298) + (-11306.62502*J298)</f>
        <v>702523.63993641431</v>
      </c>
      <c r="V298">
        <f>S298-U298</f>
        <v>63383.310063585639</v>
      </c>
      <c r="W298" s="30">
        <f>V298/S298*100</f>
        <v>8.275588837989476</v>
      </c>
    </row>
    <row r="299" spans="1:23">
      <c r="A299" s="1" t="s">
        <v>17</v>
      </c>
      <c r="B299" s="3">
        <v>45748</v>
      </c>
      <c r="C299" s="1" t="s">
        <v>15</v>
      </c>
      <c r="D299" s="1">
        <f>IF(C299="East",1,0)</f>
        <v>1</v>
      </c>
      <c r="E299" s="1">
        <f>IF(C299="West",1,0)</f>
        <v>0</v>
      </c>
      <c r="F299" s="1">
        <f>IF(C299="North",1,0)</f>
        <v>0</v>
      </c>
      <c r="G299" s="1" t="s">
        <v>18</v>
      </c>
      <c r="H299" s="1">
        <f>IF(G299="Residential",1,0)</f>
        <v>0</v>
      </c>
      <c r="I299" s="1">
        <f>IF(G299="High Street",1,0)</f>
        <v>1</v>
      </c>
      <c r="J299" s="1">
        <f>IF(G299="Mall",1,0)</f>
        <v>0</v>
      </c>
      <c r="K299" s="1">
        <v>68148.52</v>
      </c>
      <c r="L299" s="1">
        <v>8567</v>
      </c>
      <c r="M299" s="1">
        <v>0.127</v>
      </c>
      <c r="N299" s="1">
        <v>23</v>
      </c>
      <c r="O299" s="1">
        <v>95.6</v>
      </c>
      <c r="P299" s="1">
        <v>0.8</v>
      </c>
      <c r="Q299" s="1">
        <v>0</v>
      </c>
      <c r="R299" s="1">
        <v>3.9</v>
      </c>
      <c r="S299" s="1">
        <v>850164.26</v>
      </c>
      <c r="T299" s="1">
        <v>149262.75</v>
      </c>
      <c r="U299">
        <f>146249.7963 + (33.6835738*L299) + (1.176703422*K299) + (3062.934007*O299) + (-39654.57312*H299) + (-22957.90276*I299) + (-11306.62502*J299)</f>
        <v>784866.15804203553</v>
      </c>
      <c r="V299">
        <f>S299-U299</f>
        <v>65298.101957964478</v>
      </c>
      <c r="W299" s="30">
        <f>V299/S299*100</f>
        <v>7.6806453799839192</v>
      </c>
    </row>
    <row r="300" spans="1:23">
      <c r="A300" s="1" t="s">
        <v>37</v>
      </c>
      <c r="B300" s="3">
        <v>45658</v>
      </c>
      <c r="C300" s="1" t="s">
        <v>24</v>
      </c>
      <c r="D300" s="1">
        <f>IF(C300="East",1,0)</f>
        <v>0</v>
      </c>
      <c r="E300" s="1">
        <f>IF(C300="West",1,0)</f>
        <v>0</v>
      </c>
      <c r="F300" s="1">
        <f>IF(C300="North",1,0)</f>
        <v>0</v>
      </c>
      <c r="G300" s="1" t="s">
        <v>18</v>
      </c>
      <c r="H300" s="1">
        <f>IF(G300="Residential",1,0)</f>
        <v>0</v>
      </c>
      <c r="I300" s="1">
        <f>IF(G300="High Street",1,0)</f>
        <v>1</v>
      </c>
      <c r="J300" s="1">
        <f>IF(G300="Mall",1,0)</f>
        <v>0</v>
      </c>
      <c r="K300" s="1">
        <v>74907.98</v>
      </c>
      <c r="L300" s="1">
        <v>5306</v>
      </c>
      <c r="M300" s="1">
        <v>6.2E-2</v>
      </c>
      <c r="N300" s="1">
        <v>16</v>
      </c>
      <c r="O300" s="1">
        <v>95.6</v>
      </c>
      <c r="P300" s="1">
        <v>1.02</v>
      </c>
      <c r="Q300" s="1">
        <v>0</v>
      </c>
      <c r="R300" s="1">
        <v>3.7</v>
      </c>
      <c r="S300" s="1">
        <v>749559.71</v>
      </c>
      <c r="T300" s="1">
        <v>144522.53</v>
      </c>
      <c r="U300">
        <f>146249.7963 + (33.6835738*L300) + (1.176703422*K300) + (3062.934007*O300) + (-39654.57312*H300) + (-22957.90276*I300) + (-11306.62502*J300)</f>
        <v>682977.90359310759</v>
      </c>
      <c r="V300">
        <f>S300-U300</f>
        <v>66581.80640689237</v>
      </c>
      <c r="W300" s="30">
        <f>V300/S300*100</f>
        <v>8.8827888583942674</v>
      </c>
    </row>
    <row r="301" spans="1:23">
      <c r="A301" s="1" t="s">
        <v>45</v>
      </c>
      <c r="B301" s="3">
        <v>45689</v>
      </c>
      <c r="C301" s="1" t="s">
        <v>27</v>
      </c>
      <c r="D301" s="1">
        <f>IF(C301="East",1,0)</f>
        <v>0</v>
      </c>
      <c r="E301" s="1">
        <f>IF(C301="West",1,0)</f>
        <v>1</v>
      </c>
      <c r="F301" s="1">
        <f>IF(C301="North",1,0)</f>
        <v>0</v>
      </c>
      <c r="G301" s="1" t="s">
        <v>16</v>
      </c>
      <c r="H301" s="1">
        <f>IF(G301="Residential",1,0)</f>
        <v>1</v>
      </c>
      <c r="I301" s="1">
        <f>IF(G301="High Street",1,0)</f>
        <v>0</v>
      </c>
      <c r="J301" s="1">
        <f>IF(G301="Mall",1,0)</f>
        <v>0</v>
      </c>
      <c r="K301" s="1">
        <v>67439.3</v>
      </c>
      <c r="L301" s="1">
        <v>6477</v>
      </c>
      <c r="M301" s="1">
        <v>0</v>
      </c>
      <c r="N301" s="1">
        <v>16</v>
      </c>
      <c r="O301" s="1">
        <v>90.9</v>
      </c>
      <c r="P301" s="1">
        <v>1.64</v>
      </c>
      <c r="Q301" s="1">
        <v>0</v>
      </c>
      <c r="R301" s="1">
        <v>4.5</v>
      </c>
      <c r="S301" s="1">
        <v>753473.55</v>
      </c>
      <c r="T301" s="1">
        <v>151527.22</v>
      </c>
      <c r="U301">
        <f>146249.7963 + (33.6835738*L301) + (1.176703422*K301) + (3062.934007*O301) + (-39654.57312*H301) + (-22957.90276*I301) + (-11306.62502*J301)</f>
        <v>682540.48700618464</v>
      </c>
      <c r="V301">
        <f>S301-U301</f>
        <v>70933.062993815402</v>
      </c>
      <c r="W301" s="30">
        <f>V301/S301*100</f>
        <v>9.4141410795130618</v>
      </c>
    </row>
    <row r="302" spans="1:23">
      <c r="A302" s="1" t="s">
        <v>46</v>
      </c>
      <c r="B302" s="3">
        <v>45689</v>
      </c>
      <c r="C302" s="1" t="s">
        <v>27</v>
      </c>
      <c r="D302" s="1">
        <f>IF(C302="East",1,0)</f>
        <v>0</v>
      </c>
      <c r="E302" s="1">
        <f>IF(C302="West",1,0)</f>
        <v>1</v>
      </c>
      <c r="F302" s="1">
        <f>IF(C302="North",1,0)</f>
        <v>0</v>
      </c>
      <c r="G302" s="1" t="s">
        <v>28</v>
      </c>
      <c r="H302" s="1">
        <f>IF(G302="Residential",1,0)</f>
        <v>0</v>
      </c>
      <c r="I302" s="1">
        <f>IF(G302="High Street",1,0)</f>
        <v>0</v>
      </c>
      <c r="J302" s="1">
        <f>IF(G302="Mall",1,0)</f>
        <v>1</v>
      </c>
      <c r="K302" s="1">
        <v>78839.39</v>
      </c>
      <c r="L302" s="1">
        <v>5150</v>
      </c>
      <c r="M302" s="1">
        <v>0.17100000000000001</v>
      </c>
      <c r="N302" s="1">
        <v>13</v>
      </c>
      <c r="O302" s="1">
        <v>85.8</v>
      </c>
      <c r="P302" s="1">
        <v>7.57</v>
      </c>
      <c r="Q302" s="1">
        <v>0</v>
      </c>
      <c r="R302" s="1">
        <v>4.3</v>
      </c>
      <c r="S302" s="1">
        <v>735509.4</v>
      </c>
      <c r="T302" s="1">
        <v>83895.96</v>
      </c>
      <c r="U302">
        <f>146249.7963 + (33.6835738*L302) + (1.176703422*K302) + (3062.934007*O302) + (-39654.57312*H302) + (-22957.90276*I302) + (-11306.62502*J302)</f>
        <v>663983.89415199251</v>
      </c>
      <c r="V302">
        <f>S302-U302</f>
        <v>71525.505848007509</v>
      </c>
      <c r="W302" s="30">
        <f>V302/S302*100</f>
        <v>9.7246215817238379</v>
      </c>
    </row>
    <row r="303" spans="1:23">
      <c r="A303" s="1" t="s">
        <v>87</v>
      </c>
      <c r="B303" s="3">
        <v>45717</v>
      </c>
      <c r="C303" s="1" t="s">
        <v>27</v>
      </c>
      <c r="D303" s="1">
        <f>IF(C303="East",1,0)</f>
        <v>0</v>
      </c>
      <c r="E303" s="1">
        <f>IF(C303="West",1,0)</f>
        <v>1</v>
      </c>
      <c r="F303" s="1">
        <f>IF(C303="North",1,0)</f>
        <v>0</v>
      </c>
      <c r="G303" s="1" t="s">
        <v>18</v>
      </c>
      <c r="H303" s="1">
        <f>IF(G303="Residential",1,0)</f>
        <v>0</v>
      </c>
      <c r="I303" s="1">
        <f>IF(G303="High Street",1,0)</f>
        <v>1</v>
      </c>
      <c r="J303" s="1">
        <f>IF(G303="Mall",1,0)</f>
        <v>0</v>
      </c>
      <c r="K303" s="1">
        <v>51450.55</v>
      </c>
      <c r="L303" s="1">
        <v>4902</v>
      </c>
      <c r="M303" s="1">
        <v>8.5999999999999993E-2</v>
      </c>
      <c r="N303" s="1">
        <v>11</v>
      </c>
      <c r="O303" s="1">
        <v>83.7</v>
      </c>
      <c r="P303" s="1">
        <v>6.92</v>
      </c>
      <c r="Q303" s="1">
        <v>1</v>
      </c>
      <c r="R303" s="1">
        <v>4.2</v>
      </c>
      <c r="S303" s="1">
        <v>677640.65</v>
      </c>
      <c r="T303" s="1">
        <v>111610.89</v>
      </c>
      <c r="U303">
        <f>146249.7963 + (33.6835738*L303) + (1.176703422*K303) + (3062.934007*O303) + (-39654.57312*H303) + (-22957.90276*I303) + (-11306.62502*J303)</f>
        <v>605318.38694228209</v>
      </c>
      <c r="V303">
        <f>S303-U303</f>
        <v>72322.263057717937</v>
      </c>
      <c r="W303" s="30">
        <f>V303/S303*100</f>
        <v>10.672657116676506</v>
      </c>
    </row>
    <row r="304" spans="1:23">
      <c r="A304" s="1" t="s">
        <v>48</v>
      </c>
      <c r="B304" s="3">
        <v>45717</v>
      </c>
      <c r="C304" s="1" t="s">
        <v>27</v>
      </c>
      <c r="D304" s="1">
        <f>IF(C304="East",1,0)</f>
        <v>0</v>
      </c>
      <c r="E304" s="1">
        <f>IF(C304="West",1,0)</f>
        <v>1</v>
      </c>
      <c r="F304" s="1">
        <f>IF(C304="North",1,0)</f>
        <v>0</v>
      </c>
      <c r="G304" s="1" t="s">
        <v>18</v>
      </c>
      <c r="H304" s="1">
        <f>IF(G304="Residential",1,0)</f>
        <v>0</v>
      </c>
      <c r="I304" s="1">
        <f>IF(G304="High Street",1,0)</f>
        <v>1</v>
      </c>
      <c r="J304" s="1">
        <f>IF(G304="Mall",1,0)</f>
        <v>0</v>
      </c>
      <c r="K304" s="1">
        <v>64294.23</v>
      </c>
      <c r="L304" s="1">
        <v>6992</v>
      </c>
      <c r="M304" s="1">
        <v>0.13300000000000001</v>
      </c>
      <c r="N304" s="1">
        <v>14</v>
      </c>
      <c r="O304" s="1">
        <v>94.1</v>
      </c>
      <c r="P304" s="1">
        <v>0.25</v>
      </c>
      <c r="Q304" s="1">
        <v>0</v>
      </c>
      <c r="R304" s="1">
        <v>3</v>
      </c>
      <c r="S304" s="1">
        <v>795153.84</v>
      </c>
      <c r="T304" s="1">
        <v>143194.21</v>
      </c>
      <c r="U304">
        <f>146249.7963 + (33.6835738*L304) + (1.176703422*K304) + (3062.934007*O304) + (-39654.57312*H304) + (-22957.90276*I304) + (-11306.62502*J304)</f>
        <v>722684.77206415497</v>
      </c>
      <c r="V304">
        <f>S304-U304</f>
        <v>72469.067935845</v>
      </c>
      <c r="W304" s="30">
        <f>V304/S304*100</f>
        <v>9.1138424151790556</v>
      </c>
    </row>
    <row r="305" spans="1:23">
      <c r="A305" s="1" t="s">
        <v>85</v>
      </c>
      <c r="B305" s="3">
        <v>45689</v>
      </c>
      <c r="C305" s="1" t="s">
        <v>24</v>
      </c>
      <c r="D305" s="1">
        <f>IF(C305="East",1,0)</f>
        <v>0</v>
      </c>
      <c r="E305" s="1">
        <f>IF(C305="West",1,0)</f>
        <v>0</v>
      </c>
      <c r="F305" s="1">
        <f>IF(C305="North",1,0)</f>
        <v>0</v>
      </c>
      <c r="G305" s="1" t="s">
        <v>21</v>
      </c>
      <c r="H305" s="1">
        <f>IF(G305="Residential",1,0)</f>
        <v>0</v>
      </c>
      <c r="I305" s="1">
        <f>IF(G305="High Street",1,0)</f>
        <v>0</v>
      </c>
      <c r="J305" s="1">
        <f>IF(G305="Mall",1,0)</f>
        <v>0</v>
      </c>
      <c r="K305" s="1">
        <v>63582.11</v>
      </c>
      <c r="L305" s="1">
        <v>6856</v>
      </c>
      <c r="M305" s="1">
        <v>7.3999999999999996E-2</v>
      </c>
      <c r="N305" s="1">
        <v>17</v>
      </c>
      <c r="O305" s="1">
        <v>89.5</v>
      </c>
      <c r="P305" s="1">
        <v>5.48</v>
      </c>
      <c r="Q305" s="1">
        <v>0</v>
      </c>
      <c r="R305" s="1">
        <v>3.2</v>
      </c>
      <c r="S305" s="1">
        <v>799046.94</v>
      </c>
      <c r="T305" s="1">
        <v>144553.64000000001</v>
      </c>
      <c r="U305">
        <f>146249.7963 + (33.6835738*L305) + (1.176703422*K305) + (3062.934007*O305) + (-39654.57312*H305) + (-22957.90276*I305) + (-11306.62502*J305)</f>
        <v>726134.25831428042</v>
      </c>
      <c r="V305">
        <f>S305-U305</f>
        <v>72912.681685719523</v>
      </c>
      <c r="W305" s="30">
        <f>V305/S305*100</f>
        <v>9.1249559989203544</v>
      </c>
    </row>
    <row r="306" spans="1:23">
      <c r="A306" s="1" t="s">
        <v>56</v>
      </c>
      <c r="B306" s="3">
        <v>45717</v>
      </c>
      <c r="C306" s="1" t="s">
        <v>24</v>
      </c>
      <c r="D306" s="1">
        <f>IF(C306="East",1,0)</f>
        <v>0</v>
      </c>
      <c r="E306" s="1">
        <f>IF(C306="West",1,0)</f>
        <v>0</v>
      </c>
      <c r="F306" s="1">
        <f>IF(C306="North",1,0)</f>
        <v>0</v>
      </c>
      <c r="G306" s="1" t="s">
        <v>16</v>
      </c>
      <c r="H306" s="1">
        <f>IF(G306="Residential",1,0)</f>
        <v>1</v>
      </c>
      <c r="I306" s="1">
        <f>IF(G306="High Street",1,0)</f>
        <v>0</v>
      </c>
      <c r="J306" s="1">
        <f>IF(G306="Mall",1,0)</f>
        <v>0</v>
      </c>
      <c r="K306" s="1">
        <v>69779</v>
      </c>
      <c r="L306" s="1">
        <v>6544</v>
      </c>
      <c r="M306" s="1">
        <v>0.152</v>
      </c>
      <c r="N306" s="1">
        <v>18</v>
      </c>
      <c r="O306" s="1">
        <v>90.2</v>
      </c>
      <c r="P306" s="1">
        <v>0.85</v>
      </c>
      <c r="Q306" s="1">
        <v>1</v>
      </c>
      <c r="R306" s="1">
        <v>3.3</v>
      </c>
      <c r="S306" s="1">
        <v>758827.64</v>
      </c>
      <c r="T306" s="1">
        <v>161439.48000000001</v>
      </c>
      <c r="U306">
        <f>146249.7963 + (33.6835738*L306) + (1.176703422*K306) + (3062.934007*O306) + (-39654.57312*H306) + (-22957.90276*I306) + (-11306.62502*J306)</f>
        <v>685406.36564233806</v>
      </c>
      <c r="V306">
        <f>S306-U306</f>
        <v>73421.274357661954</v>
      </c>
      <c r="W306" s="30">
        <f>V306/S306*100</f>
        <v>9.6756194012202759</v>
      </c>
    </row>
    <row r="307" spans="1:23">
      <c r="A307" s="1" t="s">
        <v>72</v>
      </c>
      <c r="B307" s="3">
        <v>45689</v>
      </c>
      <c r="C307" s="1" t="s">
        <v>15</v>
      </c>
      <c r="D307" s="1">
        <f>IF(C307="East",1,0)</f>
        <v>1</v>
      </c>
      <c r="E307" s="1">
        <f>IF(C307="West",1,0)</f>
        <v>0</v>
      </c>
      <c r="F307" s="1">
        <f>IF(C307="North",1,0)</f>
        <v>0</v>
      </c>
      <c r="G307" s="1" t="s">
        <v>21</v>
      </c>
      <c r="H307" s="1">
        <f>IF(G307="Residential",1,0)</f>
        <v>0</v>
      </c>
      <c r="I307" s="1">
        <f>IF(G307="High Street",1,0)</f>
        <v>0</v>
      </c>
      <c r="J307" s="1">
        <f>IF(G307="Mall",1,0)</f>
        <v>0</v>
      </c>
      <c r="K307" s="1">
        <v>78111.97</v>
      </c>
      <c r="L307" s="1">
        <v>6389</v>
      </c>
      <c r="M307" s="1">
        <v>0.15</v>
      </c>
      <c r="N307" s="1">
        <v>13</v>
      </c>
      <c r="O307" s="1">
        <v>83.9</v>
      </c>
      <c r="P307" s="1">
        <v>3.05</v>
      </c>
      <c r="Q307" s="1">
        <v>0</v>
      </c>
      <c r="R307" s="1">
        <v>4.8</v>
      </c>
      <c r="S307" s="1">
        <v>787715.51</v>
      </c>
      <c r="T307" s="1">
        <v>128969.62</v>
      </c>
      <c r="U307">
        <f>146249.7963 + (33.6835738*L307) + (1.176703422*K307) + (3062.934007*O307) + (-39654.57312*H307) + (-22957.90276*I307) + (-11306.62502*J307)</f>
        <v>710348.9348936613</v>
      </c>
      <c r="V307">
        <f>S307-U307</f>
        <v>77366.575106338714</v>
      </c>
      <c r="W307" s="30">
        <f>V307/S307*100</f>
        <v>9.8216391735562905</v>
      </c>
    </row>
    <row r="308" spans="1:23">
      <c r="A308" s="1" t="s">
        <v>96</v>
      </c>
      <c r="B308" s="3">
        <v>45689</v>
      </c>
      <c r="C308" s="1" t="s">
        <v>27</v>
      </c>
      <c r="D308" s="1">
        <f>IF(C308="East",1,0)</f>
        <v>0</v>
      </c>
      <c r="E308" s="1">
        <f>IF(C308="West",1,0)</f>
        <v>1</v>
      </c>
      <c r="F308" s="1">
        <f>IF(C308="North",1,0)</f>
        <v>0</v>
      </c>
      <c r="G308" s="1" t="s">
        <v>18</v>
      </c>
      <c r="H308" s="1">
        <f>IF(G308="Residential",1,0)</f>
        <v>0</v>
      </c>
      <c r="I308" s="1">
        <f>IF(G308="High Street",1,0)</f>
        <v>1</v>
      </c>
      <c r="J308" s="1">
        <f>IF(G308="Mall",1,0)</f>
        <v>0</v>
      </c>
      <c r="K308" s="1">
        <v>55477.61</v>
      </c>
      <c r="L308" s="1">
        <v>5903</v>
      </c>
      <c r="M308" s="1">
        <v>0.10199999999999999</v>
      </c>
      <c r="N308" s="1">
        <v>14</v>
      </c>
      <c r="O308" s="1">
        <v>96.2</v>
      </c>
      <c r="P308" s="1">
        <v>1.41</v>
      </c>
      <c r="Q308" s="1">
        <v>0</v>
      </c>
      <c r="R308" s="1">
        <v>3.3</v>
      </c>
      <c r="S308" s="1">
        <v>763162.45</v>
      </c>
      <c r="T308" s="1">
        <v>162524.04999999999</v>
      </c>
      <c r="U308">
        <f>146249.7963 + (33.6835738*L308) + (1.176703422*K308) + (3062.934007*O308) + (-39654.57312*H308) + (-22957.90276*I308) + (-11306.62502*J308)</f>
        <v>682060.97468618141</v>
      </c>
      <c r="V308">
        <f>S308-U308</f>
        <v>81101.475313818548</v>
      </c>
      <c r="W308" s="30">
        <f>V308/S308*100</f>
        <v>10.62702643635291</v>
      </c>
    </row>
    <row r="309" spans="1:23">
      <c r="A309" s="1" t="s">
        <v>45</v>
      </c>
      <c r="B309" s="3">
        <v>45717</v>
      </c>
      <c r="C309" s="1" t="s">
        <v>27</v>
      </c>
      <c r="D309" s="1">
        <f>IF(C309="East",1,0)</f>
        <v>0</v>
      </c>
      <c r="E309" s="1">
        <f>IF(C309="West",1,0)</f>
        <v>1</v>
      </c>
      <c r="F309" s="1">
        <f>IF(C309="North",1,0)</f>
        <v>0</v>
      </c>
      <c r="G309" s="1" t="s">
        <v>16</v>
      </c>
      <c r="H309" s="1">
        <f>IF(G309="Residential",1,0)</f>
        <v>1</v>
      </c>
      <c r="I309" s="1">
        <f>IF(G309="High Street",1,0)</f>
        <v>0</v>
      </c>
      <c r="J309" s="1">
        <f>IF(G309="Mall",1,0)</f>
        <v>0</v>
      </c>
      <c r="K309" s="1">
        <v>86421.88</v>
      </c>
      <c r="L309" s="1">
        <v>7970</v>
      </c>
      <c r="M309" s="1">
        <v>7.2999999999999995E-2</v>
      </c>
      <c r="N309" s="1">
        <v>17</v>
      </c>
      <c r="O309" s="1">
        <v>91.3</v>
      </c>
      <c r="P309" s="1">
        <v>0.8</v>
      </c>
      <c r="Q309" s="1">
        <v>0</v>
      </c>
      <c r="R309" s="1">
        <v>5</v>
      </c>
      <c r="S309" s="1">
        <v>838250.32</v>
      </c>
      <c r="T309" s="1">
        <v>122939.34</v>
      </c>
      <c r="U309">
        <f>146249.7963 + (33.6835738*L309) + (1.176703422*K309) + (3062.934007*O309) + (-39654.57312*H309) + (-22957.90276*I309) + (-11306.62502*J309)</f>
        <v>756392.10313677334</v>
      </c>
      <c r="V309">
        <f>S309-U309</f>
        <v>81858.216863226611</v>
      </c>
      <c r="W309" s="30">
        <f>V309/S309*100</f>
        <v>9.7653666106833832</v>
      </c>
    </row>
    <row r="310" spans="1:23">
      <c r="A310" s="1" t="s">
        <v>90</v>
      </c>
      <c r="B310" s="3">
        <v>45748</v>
      </c>
      <c r="C310" s="1" t="s">
        <v>27</v>
      </c>
      <c r="D310" s="1">
        <f>IF(C310="East",1,0)</f>
        <v>0</v>
      </c>
      <c r="E310" s="1">
        <f>IF(C310="West",1,0)</f>
        <v>1</v>
      </c>
      <c r="F310" s="1">
        <f>IF(C310="North",1,0)</f>
        <v>0</v>
      </c>
      <c r="G310" s="1" t="s">
        <v>18</v>
      </c>
      <c r="H310" s="1">
        <f>IF(G310="Residential",1,0)</f>
        <v>0</v>
      </c>
      <c r="I310" s="1">
        <f>IF(G310="High Street",1,0)</f>
        <v>1</v>
      </c>
      <c r="J310" s="1">
        <f>IF(G310="Mall",1,0)</f>
        <v>0</v>
      </c>
      <c r="K310" s="1">
        <v>38297.58</v>
      </c>
      <c r="L310" s="1">
        <v>5893</v>
      </c>
      <c r="M310" s="1">
        <v>0.247</v>
      </c>
      <c r="N310" s="1">
        <v>18</v>
      </c>
      <c r="O310" s="1">
        <v>77.599999999999994</v>
      </c>
      <c r="P310" s="1">
        <v>2.86</v>
      </c>
      <c r="Q310" s="1">
        <v>0</v>
      </c>
      <c r="R310" s="1">
        <v>3</v>
      </c>
      <c r="S310" s="1">
        <v>686737.87</v>
      </c>
      <c r="T310" s="1">
        <v>83839.67</v>
      </c>
      <c r="U310">
        <f>146249.7963 + (33.6835738*L310) + (1.176703422*K310) + (3062.934007*O310) + (-39654.57312*H310) + (-22957.90276*I310) + (-11306.62502*J310)</f>
        <v>604537.76632691873</v>
      </c>
      <c r="V310">
        <f>S310-U310</f>
        <v>82200.103673081263</v>
      </c>
      <c r="W310" s="30">
        <f>V310/S310*100</f>
        <v>11.969647701688748</v>
      </c>
    </row>
    <row r="311" spans="1:23">
      <c r="A311" s="1" t="s">
        <v>42</v>
      </c>
      <c r="B311" s="3">
        <v>45717</v>
      </c>
      <c r="C311" s="1" t="s">
        <v>27</v>
      </c>
      <c r="D311" s="1">
        <f>IF(C311="East",1,0)</f>
        <v>0</v>
      </c>
      <c r="E311" s="1">
        <f>IF(C311="West",1,0)</f>
        <v>1</v>
      </c>
      <c r="F311" s="1">
        <f>IF(C311="North",1,0)</f>
        <v>0</v>
      </c>
      <c r="G311" s="1" t="s">
        <v>28</v>
      </c>
      <c r="H311" s="1">
        <f>IF(G311="Residential",1,0)</f>
        <v>0</v>
      </c>
      <c r="I311" s="1">
        <f>IF(G311="High Street",1,0)</f>
        <v>0</v>
      </c>
      <c r="J311" s="1">
        <f>IF(G311="Mall",1,0)</f>
        <v>1</v>
      </c>
      <c r="K311" s="1">
        <v>72731.14</v>
      </c>
      <c r="L311" s="1">
        <v>4644</v>
      </c>
      <c r="M311" s="1">
        <v>8.4000000000000005E-2</v>
      </c>
      <c r="N311" s="1">
        <v>15</v>
      </c>
      <c r="O311" s="1">
        <v>87.1</v>
      </c>
      <c r="P311" s="1">
        <v>2.66</v>
      </c>
      <c r="Q311" s="1">
        <v>0</v>
      </c>
      <c r="R311" s="1">
        <v>4.5999999999999996</v>
      </c>
      <c r="S311" s="1">
        <v>727241.86</v>
      </c>
      <c r="T311" s="1">
        <v>155810.29999999999</v>
      </c>
      <c r="U311">
        <f>146249.7963 + (33.6835738*L311) + (1.176703422*K311) + (3062.934007*O311) + (-39654.57312*H311) + (-22957.90276*I311) + (-11306.62502*J311)</f>
        <v>643734.22134086094</v>
      </c>
      <c r="V311">
        <f>S311-U311</f>
        <v>83507.638659139047</v>
      </c>
      <c r="W311" s="30">
        <f>V311/S311*100</f>
        <v>11.482787673847467</v>
      </c>
    </row>
    <row r="312" spans="1:23">
      <c r="A312" s="1" t="s">
        <v>62</v>
      </c>
      <c r="B312" s="3">
        <v>45689</v>
      </c>
      <c r="C312" s="1" t="s">
        <v>24</v>
      </c>
      <c r="D312" s="1">
        <f>IF(C312="East",1,0)</f>
        <v>0</v>
      </c>
      <c r="E312" s="1">
        <f>IF(C312="West",1,0)</f>
        <v>0</v>
      </c>
      <c r="F312" s="1">
        <f>IF(C312="North",1,0)</f>
        <v>0</v>
      </c>
      <c r="G312" s="1" t="s">
        <v>18</v>
      </c>
      <c r="H312" s="1">
        <f>IF(G312="Residential",1,0)</f>
        <v>0</v>
      </c>
      <c r="I312" s="1">
        <f>IF(G312="High Street",1,0)</f>
        <v>1</v>
      </c>
      <c r="J312" s="1">
        <f>IF(G312="Mall",1,0)</f>
        <v>0</v>
      </c>
      <c r="K312" s="1">
        <v>48438.85</v>
      </c>
      <c r="L312" s="1">
        <v>6992</v>
      </c>
      <c r="M312" s="1">
        <v>3.4000000000000002E-2</v>
      </c>
      <c r="N312" s="1">
        <v>20</v>
      </c>
      <c r="O312" s="1">
        <v>91</v>
      </c>
      <c r="P312" s="1">
        <v>4.3600000000000003</v>
      </c>
      <c r="Q312" s="1">
        <v>0</v>
      </c>
      <c r="R312" s="1">
        <v>4.2</v>
      </c>
      <c r="S312" s="1">
        <v>778298.88</v>
      </c>
      <c r="T312" s="1">
        <v>130076.72</v>
      </c>
      <c r="U312">
        <f>146249.7963 + (33.6835738*L312) + (1.176703422*K312) + (3062.934007*O312) + (-39654.57312*H312) + (-22957.90276*I312) + (-11306.62502*J312)</f>
        <v>694532.59673934465</v>
      </c>
      <c r="V312">
        <f>S312-U312</f>
        <v>83766.283260655357</v>
      </c>
      <c r="W312" s="30">
        <f>V312/S312*100</f>
        <v>10.762739792283313</v>
      </c>
    </row>
    <row r="313" spans="1:23">
      <c r="A313" s="1" t="s">
        <v>86</v>
      </c>
      <c r="B313" s="3">
        <v>45658</v>
      </c>
      <c r="C313" s="1" t="s">
        <v>24</v>
      </c>
      <c r="D313" s="1">
        <f>IF(C313="East",1,0)</f>
        <v>0</v>
      </c>
      <c r="E313" s="1">
        <f>IF(C313="West",1,0)</f>
        <v>0</v>
      </c>
      <c r="F313" s="1">
        <f>IF(C313="North",1,0)</f>
        <v>0</v>
      </c>
      <c r="G313" s="1" t="s">
        <v>28</v>
      </c>
      <c r="H313" s="1">
        <f>IF(G313="Residential",1,0)</f>
        <v>0</v>
      </c>
      <c r="I313" s="1">
        <f>IF(G313="High Street",1,0)</f>
        <v>0</v>
      </c>
      <c r="J313" s="1">
        <f>IF(G313="Mall",1,0)</f>
        <v>1</v>
      </c>
      <c r="K313" s="1">
        <v>65272.58</v>
      </c>
      <c r="L313" s="1">
        <v>8165</v>
      </c>
      <c r="M313" s="1">
        <v>5.0999999999999997E-2</v>
      </c>
      <c r="N313" s="1">
        <v>19</v>
      </c>
      <c r="O313" s="1">
        <v>87.8</v>
      </c>
      <c r="P313" s="1">
        <v>1.26</v>
      </c>
      <c r="Q313" s="1">
        <v>1</v>
      </c>
      <c r="R313" s="1">
        <v>4.3</v>
      </c>
      <c r="S313" s="1">
        <v>840108.12</v>
      </c>
      <c r="T313" s="1">
        <v>126587.01</v>
      </c>
      <c r="U313">
        <f>146249.7963 + (33.6835738*L313) + (1.176703422*K313) + (3062.934007*O313) + (-39654.57312*H313) + (-22957.90276*I313) + (-11306.62502*J313)</f>
        <v>755701.62542036863</v>
      </c>
      <c r="V313">
        <f>S313-U313</f>
        <v>84406.49457963137</v>
      </c>
      <c r="W313" s="30">
        <f>V313/S313*100</f>
        <v>10.047099006688731</v>
      </c>
    </row>
    <row r="314" spans="1:23">
      <c r="A314" s="1" t="s">
        <v>40</v>
      </c>
      <c r="B314" s="3">
        <v>45717</v>
      </c>
      <c r="C314" s="1" t="s">
        <v>15</v>
      </c>
      <c r="D314" s="1">
        <f>IF(C314="East",1,0)</f>
        <v>1</v>
      </c>
      <c r="E314" s="1">
        <f>IF(C314="West",1,0)</f>
        <v>0</v>
      </c>
      <c r="F314" s="1">
        <f>IF(C314="North",1,0)</f>
        <v>0</v>
      </c>
      <c r="G314" s="1" t="s">
        <v>16</v>
      </c>
      <c r="H314" s="1">
        <f>IF(G314="Residential",1,0)</f>
        <v>1</v>
      </c>
      <c r="I314" s="1">
        <f>IF(G314="High Street",1,0)</f>
        <v>0</v>
      </c>
      <c r="J314" s="1">
        <f>IF(G314="Mall",1,0)</f>
        <v>0</v>
      </c>
      <c r="K314" s="1">
        <v>70144.78</v>
      </c>
      <c r="L314" s="1">
        <v>6806</v>
      </c>
      <c r="M314" s="1">
        <v>0.17799999999999999</v>
      </c>
      <c r="N314" s="1">
        <v>20</v>
      </c>
      <c r="O314" s="1">
        <v>93.1</v>
      </c>
      <c r="P314" s="1">
        <v>0.28000000000000003</v>
      </c>
      <c r="Q314" s="1">
        <v>1</v>
      </c>
      <c r="R314" s="1">
        <v>4.3</v>
      </c>
      <c r="S314" s="1">
        <v>788087.68</v>
      </c>
      <c r="T314" s="1">
        <v>116803.42</v>
      </c>
      <c r="U314">
        <f>146249.7963 + (33.6835738*L314) + (1.176703422*K314) + (3062.934007*O314) + (-39654.57312*H314) + (-22957.90276*I314) + (-11306.62502*J314)</f>
        <v>703544.3851759372</v>
      </c>
      <c r="V314">
        <f>S314-U314</f>
        <v>84543.294824062847</v>
      </c>
      <c r="W314" s="30">
        <f>V314/S314*100</f>
        <v>10.727650865454825</v>
      </c>
    </row>
    <row r="315" spans="1:23">
      <c r="A315" s="1" t="s">
        <v>47</v>
      </c>
      <c r="B315" s="3">
        <v>45748</v>
      </c>
      <c r="C315" s="1" t="s">
        <v>15</v>
      </c>
      <c r="D315" s="1">
        <f>IF(C315="East",1,0)</f>
        <v>1</v>
      </c>
      <c r="E315" s="1">
        <f>IF(C315="West",1,0)</f>
        <v>0</v>
      </c>
      <c r="F315" s="1">
        <f>IF(C315="North",1,0)</f>
        <v>0</v>
      </c>
      <c r="G315" s="1" t="s">
        <v>28</v>
      </c>
      <c r="H315" s="1">
        <f>IF(G315="Residential",1,0)</f>
        <v>0</v>
      </c>
      <c r="I315" s="1">
        <f>IF(G315="High Street",1,0)</f>
        <v>0</v>
      </c>
      <c r="J315" s="1">
        <f>IF(G315="Mall",1,0)</f>
        <v>1</v>
      </c>
      <c r="K315" s="1">
        <v>32266.639999999999</v>
      </c>
      <c r="L315" s="1">
        <v>2414</v>
      </c>
      <c r="M315" s="1">
        <v>0.08</v>
      </c>
      <c r="N315" s="1">
        <v>7</v>
      </c>
      <c r="O315" s="1">
        <v>92.1</v>
      </c>
      <c r="P315" s="1">
        <v>1.48</v>
      </c>
      <c r="Q315" s="1">
        <v>0</v>
      </c>
      <c r="R315" s="1">
        <v>5</v>
      </c>
      <c r="S315" s="1">
        <v>625514.04</v>
      </c>
      <c r="T315" s="1">
        <v>120685.08</v>
      </c>
      <c r="U315">
        <f>146249.7963 + (33.6835738*L315) + (1.176703422*K315) + (3062.934007*O315) + (-39654.57312*H315) + (-22957.90276*I315) + (-11306.62502*J315)</f>
        <v>536319.806182342</v>
      </c>
      <c r="V315">
        <f>S315-U315</f>
        <v>89194.233817658038</v>
      </c>
      <c r="W315" s="30">
        <f>V315/S315*100</f>
        <v>14.25934960910838</v>
      </c>
    </row>
    <row r="316" spans="1:23">
      <c r="A316" s="1" t="s">
        <v>80</v>
      </c>
      <c r="B316" s="3">
        <v>45689</v>
      </c>
      <c r="C316" s="1" t="s">
        <v>27</v>
      </c>
      <c r="D316" s="1">
        <f>IF(C316="East",1,0)</f>
        <v>0</v>
      </c>
      <c r="E316" s="1">
        <f>IF(C316="West",1,0)</f>
        <v>1</v>
      </c>
      <c r="F316" s="1">
        <f>IF(C316="North",1,0)</f>
        <v>0</v>
      </c>
      <c r="G316" s="1" t="s">
        <v>16</v>
      </c>
      <c r="H316" s="1">
        <f>IF(G316="Residential",1,0)</f>
        <v>1</v>
      </c>
      <c r="I316" s="1">
        <f>IF(G316="High Street",1,0)</f>
        <v>0</v>
      </c>
      <c r="J316" s="1">
        <f>IF(G316="Mall",1,0)</f>
        <v>0</v>
      </c>
      <c r="K316" s="1">
        <v>61650.79</v>
      </c>
      <c r="L316" s="1">
        <v>5321</v>
      </c>
      <c r="M316" s="1">
        <v>0.126</v>
      </c>
      <c r="N316" s="1">
        <v>17</v>
      </c>
      <c r="O316" s="1">
        <v>89.2</v>
      </c>
      <c r="P316" s="1">
        <v>2.13</v>
      </c>
      <c r="Q316" s="1">
        <v>0</v>
      </c>
      <c r="R316" s="1">
        <v>4</v>
      </c>
      <c r="S316" s="1">
        <v>723305.11</v>
      </c>
      <c r="T316" s="1">
        <v>128468.7</v>
      </c>
      <c r="U316">
        <f>146249.7963 + (33.6835738*L316) + (1.176703422*K316) + (3062.934007*O316) + (-39654.57312*H316) + (-22957.90276*I316) + (-11306.62502*J316)</f>
        <v>631583.92835620337</v>
      </c>
      <c r="V316">
        <f>S316-U316</f>
        <v>91721.181643796619</v>
      </c>
      <c r="W316" s="30">
        <f>V316/S316*100</f>
        <v>12.680842479295718</v>
      </c>
    </row>
    <row r="317" spans="1:23">
      <c r="A317" s="1" t="s">
        <v>71</v>
      </c>
      <c r="B317" s="3">
        <v>45748</v>
      </c>
      <c r="C317" s="1" t="s">
        <v>20</v>
      </c>
      <c r="D317" s="1">
        <f>IF(C317="East",1,0)</f>
        <v>0</v>
      </c>
      <c r="E317" s="1">
        <f>IF(C317="West",1,0)</f>
        <v>0</v>
      </c>
      <c r="F317" s="1">
        <f>IF(C317="North",1,0)</f>
        <v>1</v>
      </c>
      <c r="G317" s="1" t="s">
        <v>16</v>
      </c>
      <c r="H317" s="1">
        <f>IF(G317="Residential",1,0)</f>
        <v>1</v>
      </c>
      <c r="I317" s="1">
        <f>IF(G317="High Street",1,0)</f>
        <v>0</v>
      </c>
      <c r="J317" s="1">
        <f>IF(G317="Mall",1,0)</f>
        <v>0</v>
      </c>
      <c r="K317" s="1">
        <v>61391.8</v>
      </c>
      <c r="L317" s="1">
        <v>5575</v>
      </c>
      <c r="M317" s="1">
        <v>0.189</v>
      </c>
      <c r="N317" s="1">
        <v>18</v>
      </c>
      <c r="O317" s="1">
        <v>90</v>
      </c>
      <c r="P317" s="1">
        <v>1.8</v>
      </c>
      <c r="Q317" s="1">
        <v>0</v>
      </c>
      <c r="R317" s="1">
        <v>4.8</v>
      </c>
      <c r="S317" s="1">
        <v>735786.64</v>
      </c>
      <c r="T317" s="1">
        <v>126540.66</v>
      </c>
      <c r="U317">
        <f>146249.7963 + (33.6835738*L317) + (1.176703422*K317) + (3062.934007*O317) + (-39654.57312*H317) + (-22957.90276*I317) + (-11306.62502*J317)</f>
        <v>642285.14888773963</v>
      </c>
      <c r="V317">
        <f>S317-U317</f>
        <v>93501.491112260381</v>
      </c>
      <c r="W317" s="30">
        <f>V317/S317*100</f>
        <v>12.707690793660017</v>
      </c>
    </row>
    <row r="318" spans="1:23">
      <c r="A318" s="1" t="s">
        <v>53</v>
      </c>
      <c r="B318" s="3">
        <v>45658</v>
      </c>
      <c r="C318" s="1" t="s">
        <v>24</v>
      </c>
      <c r="D318" s="1">
        <f>IF(C318="East",1,0)</f>
        <v>0</v>
      </c>
      <c r="E318" s="1">
        <f>IF(C318="West",1,0)</f>
        <v>0</v>
      </c>
      <c r="F318" s="1">
        <f>IF(C318="North",1,0)</f>
        <v>0</v>
      </c>
      <c r="G318" s="1" t="s">
        <v>18</v>
      </c>
      <c r="H318" s="1">
        <f>IF(G318="Residential",1,0)</f>
        <v>0</v>
      </c>
      <c r="I318" s="1">
        <f>IF(G318="High Street",1,0)</f>
        <v>1</v>
      </c>
      <c r="J318" s="1">
        <f>IF(G318="Mall",1,0)</f>
        <v>0</v>
      </c>
      <c r="K318" s="1">
        <v>61541.21</v>
      </c>
      <c r="L318" s="1">
        <v>10396</v>
      </c>
      <c r="M318" s="1">
        <v>0.123</v>
      </c>
      <c r="N318" s="1">
        <v>25</v>
      </c>
      <c r="O318" s="1">
        <v>88.1</v>
      </c>
      <c r="P318" s="1">
        <v>2.34</v>
      </c>
      <c r="Q318" s="1">
        <v>1</v>
      </c>
      <c r="R318" s="1">
        <v>4.8</v>
      </c>
      <c r="S318" s="1">
        <v>914544.17</v>
      </c>
      <c r="T318" s="1">
        <v>79831.73</v>
      </c>
      <c r="U318">
        <f>146249.7963 + (33.6835738*L318) + (1.176703422*K318) + (3062.934007*O318) + (-39654.57312*H318) + (-22957.90276*I318) + (-11306.62502*J318)</f>
        <v>815726.56518252054</v>
      </c>
      <c r="V318">
        <f>S318-U318</f>
        <v>98817.6048174795</v>
      </c>
      <c r="W318" s="30">
        <f>V318/S318*100</f>
        <v>10.805121071132026</v>
      </c>
    </row>
    <row r="319" spans="1:23">
      <c r="A319" s="1" t="s">
        <v>49</v>
      </c>
      <c r="B319" s="3">
        <v>45748</v>
      </c>
      <c r="C319" s="1" t="s">
        <v>15</v>
      </c>
      <c r="D319" s="1">
        <f>IF(C319="East",1,0)</f>
        <v>1</v>
      </c>
      <c r="E319" s="1">
        <f>IF(C319="West",1,0)</f>
        <v>0</v>
      </c>
      <c r="F319" s="1">
        <f>IF(C319="North",1,0)</f>
        <v>0</v>
      </c>
      <c r="G319" s="1" t="s">
        <v>28</v>
      </c>
      <c r="H319" s="1">
        <f>IF(G319="Residential",1,0)</f>
        <v>0</v>
      </c>
      <c r="I319" s="1">
        <f>IF(G319="High Street",1,0)</f>
        <v>0</v>
      </c>
      <c r="J319" s="1">
        <f>IF(G319="Mall",1,0)</f>
        <v>1</v>
      </c>
      <c r="K319" s="1">
        <v>52758.01</v>
      </c>
      <c r="L319" s="1">
        <v>4063</v>
      </c>
      <c r="M319" s="1">
        <v>5.7000000000000002E-2</v>
      </c>
      <c r="N319" s="1">
        <v>12</v>
      </c>
      <c r="O319" s="1">
        <v>91.7</v>
      </c>
      <c r="P319" s="1">
        <v>0.92</v>
      </c>
      <c r="Q319" s="1">
        <v>0</v>
      </c>
      <c r="R319" s="1">
        <v>3.5</v>
      </c>
      <c r="S319" s="1">
        <v>713611.16</v>
      </c>
      <c r="T319" s="1">
        <v>129717.18</v>
      </c>
      <c r="U319">
        <f>146249.7963 + (33.6835738*L319) + (1.176703422*K319) + (3062.934007*O319) + (-39654.57312*H319) + (-22957.90276*I319) + (-11306.62502*J319)</f>
        <v>614751.11097621021</v>
      </c>
      <c r="V319">
        <f>S319-U319</f>
        <v>98860.049023789819</v>
      </c>
      <c r="W319" s="30">
        <f>V319/S319*100</f>
        <v>13.85348976658238</v>
      </c>
    </row>
    <row r="320" spans="1:23">
      <c r="A320" s="1" t="s">
        <v>51</v>
      </c>
      <c r="B320" s="3">
        <v>45689</v>
      </c>
      <c r="C320" s="1" t="s">
        <v>27</v>
      </c>
      <c r="D320" s="1">
        <f>IF(C320="East",1,0)</f>
        <v>0</v>
      </c>
      <c r="E320" s="1">
        <f>IF(C320="West",1,0)</f>
        <v>1</v>
      </c>
      <c r="F320" s="1">
        <f>IF(C320="North",1,0)</f>
        <v>0</v>
      </c>
      <c r="G320" s="1" t="s">
        <v>16</v>
      </c>
      <c r="H320" s="1">
        <f>IF(G320="Residential",1,0)</f>
        <v>1</v>
      </c>
      <c r="I320" s="1">
        <f>IF(G320="High Street",1,0)</f>
        <v>0</v>
      </c>
      <c r="J320" s="1">
        <f>IF(G320="Mall",1,0)</f>
        <v>0</v>
      </c>
      <c r="K320" s="1">
        <v>57360.01</v>
      </c>
      <c r="L320" s="1">
        <v>8434</v>
      </c>
      <c r="M320" s="1">
        <v>0.151</v>
      </c>
      <c r="N320" s="1">
        <v>19</v>
      </c>
      <c r="O320" s="1">
        <v>84.1</v>
      </c>
      <c r="P320" s="1">
        <v>1.56</v>
      </c>
      <c r="Q320" s="1">
        <v>0</v>
      </c>
      <c r="R320" s="1">
        <v>4.7</v>
      </c>
      <c r="S320" s="1">
        <v>820519.04</v>
      </c>
      <c r="T320" s="1">
        <v>99035.88</v>
      </c>
      <c r="U320">
        <f>146249.7963 + (33.6835738*L320) + (1.176703422*K320) + (3062.934007*O320) + (-39654.57312*H320) + (-22957.90276*I320) + (-11306.62502*J320)</f>
        <v>715770.95465085423</v>
      </c>
      <c r="V320">
        <f>S320-U320</f>
        <v>104748.08534914581</v>
      </c>
      <c r="W320" s="30">
        <f>V320/S320*100</f>
        <v>12.766076135070042</v>
      </c>
    </row>
    <row r="321" spans="1:23">
      <c r="A321" s="1" t="s">
        <v>94</v>
      </c>
      <c r="B321" s="3">
        <v>45717</v>
      </c>
      <c r="C321" s="1" t="s">
        <v>15</v>
      </c>
      <c r="D321" s="1">
        <f>IF(C321="East",1,0)</f>
        <v>1</v>
      </c>
      <c r="E321" s="1">
        <f>IF(C321="West",1,0)</f>
        <v>0</v>
      </c>
      <c r="F321" s="1">
        <f>IF(C321="North",1,0)</f>
        <v>0</v>
      </c>
      <c r="G321" s="1" t="s">
        <v>16</v>
      </c>
      <c r="H321" s="1">
        <f>IF(G321="Residential",1,0)</f>
        <v>1</v>
      </c>
      <c r="I321" s="1">
        <f>IF(G321="High Street",1,0)</f>
        <v>0</v>
      </c>
      <c r="J321" s="1">
        <f>IF(G321="Mall",1,0)</f>
        <v>0</v>
      </c>
      <c r="K321" s="1">
        <v>56737.3</v>
      </c>
      <c r="L321" s="1">
        <v>8300</v>
      </c>
      <c r="M321" s="1">
        <v>3.2000000000000001E-2</v>
      </c>
      <c r="N321" s="1">
        <v>21</v>
      </c>
      <c r="O321" s="1">
        <v>83.2</v>
      </c>
      <c r="P321" s="1">
        <v>3.44</v>
      </c>
      <c r="Q321" s="1">
        <v>1</v>
      </c>
      <c r="R321" s="1">
        <v>4.3</v>
      </c>
      <c r="S321" s="1">
        <v>813316.71</v>
      </c>
      <c r="T321" s="1">
        <v>110077.42</v>
      </c>
      <c r="U321">
        <f>146249.7963 + (33.6835738*L321) + (1.176703422*K321) + (3062.934007*O321) + (-39654.57312*H321) + (-22957.90276*I321) + (-11306.62502*J321)</f>
        <v>707767.97016744071</v>
      </c>
      <c r="V321">
        <f>S321-U321</f>
        <v>105548.73983255925</v>
      </c>
      <c r="W321" s="30">
        <f>V321/S321*100</f>
        <v>12.977569320143351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FB83-BBF4-4685-AE3E-1226E5A8D948}">
  <dimension ref="A2:G8"/>
  <sheetViews>
    <sheetView tabSelected="1" zoomScale="82" workbookViewId="0">
      <selection activeCell="F8" sqref="F8"/>
    </sheetView>
  </sheetViews>
  <sheetFormatPr defaultRowHeight="14.4"/>
  <cols>
    <col min="1" max="1" width="17.6640625" customWidth="1"/>
    <col min="2" max="2" width="21.44140625" customWidth="1"/>
    <col min="3" max="3" width="20.6640625" customWidth="1"/>
    <col min="4" max="4" width="16" customWidth="1"/>
    <col min="5" max="5" width="30" customWidth="1"/>
    <col min="6" max="6" width="31.6640625" customWidth="1"/>
    <col min="7" max="7" width="25.77734375" customWidth="1"/>
  </cols>
  <sheetData>
    <row r="2" spans="1:7" ht="25.8">
      <c r="A2" s="29" t="s">
        <v>159</v>
      </c>
      <c r="B2" s="29"/>
      <c r="C2" s="29"/>
      <c r="D2" s="29"/>
      <c r="E2" s="29"/>
      <c r="F2" s="29"/>
      <c r="G2" s="29"/>
    </row>
    <row r="5" spans="1:7" ht="57.6" customHeight="1">
      <c r="A5" s="19" t="s">
        <v>139</v>
      </c>
      <c r="B5" s="19" t="s">
        <v>140</v>
      </c>
      <c r="C5" s="19" t="s">
        <v>150</v>
      </c>
      <c r="D5" s="19" t="s">
        <v>141</v>
      </c>
      <c r="E5" s="19" t="s">
        <v>151</v>
      </c>
      <c r="F5" s="19" t="s">
        <v>142</v>
      </c>
      <c r="G5" s="19" t="s">
        <v>143</v>
      </c>
    </row>
    <row r="6" spans="1:7" ht="92.4" customHeight="1">
      <c r="A6" s="26" t="s">
        <v>144</v>
      </c>
      <c r="B6" s="26" t="s">
        <v>145</v>
      </c>
      <c r="C6" s="27" t="s">
        <v>148</v>
      </c>
      <c r="D6" s="28">
        <v>0.16719999999999999</v>
      </c>
      <c r="E6" s="27" t="s">
        <v>162</v>
      </c>
      <c r="F6" s="27" t="s">
        <v>154</v>
      </c>
      <c r="G6" s="27" t="s">
        <v>155</v>
      </c>
    </row>
    <row r="7" spans="1:7" ht="90.6" customHeight="1">
      <c r="A7" s="20" t="s">
        <v>147</v>
      </c>
      <c r="B7" s="20" t="s">
        <v>145</v>
      </c>
      <c r="C7" s="21" t="s">
        <v>146</v>
      </c>
      <c r="D7" s="22">
        <v>0.73629999999999995</v>
      </c>
      <c r="E7" s="21" t="s">
        <v>163</v>
      </c>
      <c r="F7" s="21" t="s">
        <v>152</v>
      </c>
      <c r="G7" s="21" t="s">
        <v>153</v>
      </c>
    </row>
    <row r="8" spans="1:7" ht="124.8" customHeight="1">
      <c r="A8" s="23" t="s">
        <v>158</v>
      </c>
      <c r="B8" s="23" t="s">
        <v>138</v>
      </c>
      <c r="C8" s="24" t="s">
        <v>149</v>
      </c>
      <c r="D8" s="25">
        <v>0.81989999999999996</v>
      </c>
      <c r="E8" s="24" t="s">
        <v>164</v>
      </c>
      <c r="F8" s="24" t="s">
        <v>156</v>
      </c>
      <c r="G8" s="24" t="s">
        <v>157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Original_data</vt:lpstr>
      <vt:lpstr>Cleaned_data</vt:lpstr>
      <vt:lpstr>dummy</vt:lpstr>
      <vt:lpstr>Simple_Regression 1</vt:lpstr>
      <vt:lpstr>Simple_Regression 2</vt:lpstr>
      <vt:lpstr>Multiple_Regression</vt:lpstr>
      <vt:lpstr>Prediction and residual </vt:lpstr>
      <vt:lpstr>Model_Compare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Rathore</dc:creator>
  <cp:lastModifiedBy>Ajay Rathore</cp:lastModifiedBy>
  <dcterms:created xsi:type="dcterms:W3CDTF">2026-06-24T14:40:58Z</dcterms:created>
  <dcterms:modified xsi:type="dcterms:W3CDTF">2026-06-26T09:08:49Z</dcterms:modified>
</cp:coreProperties>
</file>